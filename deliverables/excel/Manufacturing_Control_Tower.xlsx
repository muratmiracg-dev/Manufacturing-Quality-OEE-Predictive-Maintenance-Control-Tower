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094c592b5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E Data" sheetId="1" r:id="Rbe34e4cd03004b59"/>
    <x:sheet xmlns:r="http://schemas.openxmlformats.org/officeDocument/2006/relationships" name="Downtime Data" sheetId="2" r:id="Rd9d7cd2d59424f6e"/>
    <x:sheet xmlns:r="http://schemas.openxmlformats.org/officeDocument/2006/relationships" name="Capability Data" sheetId="3" r:id="R058e09f98df744a4"/>
    <x:sheet xmlns:r="http://schemas.openxmlformats.org/officeDocument/2006/relationships" name="Reliability Data" sheetId="4" r:id="R553035b62fb44718"/>
    <x:sheet xmlns:r="http://schemas.openxmlformats.org/officeDocument/2006/relationships" name="SPC Data" sheetId="5" r:id="Rb5b660b0445f4eef"/>
    <x:sheet xmlns:r="http://schemas.openxmlformats.org/officeDocument/2006/relationships" name="Maintenance Data" sheetId="6" r:id="R1a77ffbf05a14e63"/>
    <x:sheet xmlns:r="http://schemas.openxmlformats.org/officeDocument/2006/relationships" name="Drift Data" sheetId="7" r:id="Rbdc7830a36fd43f8"/>
    <x:sheet xmlns:r="http://schemas.openxmlformats.org/officeDocument/2006/relationships" name="SHAP Data" sheetId="8" r:id="Rb30bc9b74dc14d2c"/>
    <x:sheet xmlns:r="http://schemas.openxmlformats.org/officeDocument/2006/relationships" name="Assumptions" sheetId="9" r:id="R6665af4c8f044eba"/>
    <x:sheet xmlns:r="http://schemas.openxmlformats.org/officeDocument/2006/relationships" name="Executive Dashboard" sheetId="10" r:id="R0be3d4ccea6344b3"/>
    <x:sheet xmlns:r="http://schemas.openxmlformats.org/officeDocument/2006/relationships" name="Maintenance Planner" sheetId="11" r:id="Raed4abcbe3e4441f"/>
    <x:sheet xmlns:r="http://schemas.openxmlformats.org/officeDocument/2006/relationships" name="Chart Data" sheetId="12" r:id="R725d9bb44ea1497d"/>
    <x:sheet xmlns:r="http://schemas.openxmlformats.org/officeDocument/2006/relationships" name="Model Monitoring" sheetId="13" r:id="R29c8dcfb36ed4dcf"/>
    <x:sheet xmlns:r="http://schemas.openxmlformats.org/officeDocument/2006/relationships" name="Data Dictionary" sheetId="14" r:id="R9f9453244ce84a35"/>
  </x:sheets>
</x:workbook>
</file>

<file path=xl/comments1.xml><?xml version="1.0" encoding="utf-8"?>
<x:comments xmlns:x="http://schemas.openxmlformats.org/spreadsheetml/2006/main">
  <x:authors>
    <x:author>tc={BCC940F2-203D-192D-6189-050A162392BC}</x:author>
    <x:author>tc={6811320B-E255-463C-BB28-E3CFDF27D98B}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false-negative cost used for validation-only threshold selection.</x:t>
        </x:r>
      </x:text>
    </x:comment>
    <x:comment ref="B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Selected from validation data with recall and review-capacity constraints; OOT was not used.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.00%"/>
    <x:numFmt numFmtId="202" formatCode="#,##0.0"/>
    <x:numFmt numFmtId="203" formatCode="0.000"/>
    <x:numFmt numFmtId="204" formatCode="#,##0.00"/>
    <x:numFmt numFmtId="205" formatCode="0"/>
    <x:numFmt numFmtId="206" formatCode="0.0000"/>
    <x:numFmt numFmtId="207" formatCode="#,##0"/>
    <x:numFmt numFmtId="208" formatCode="0.00x"/>
  </x:numFmts>
  <x:fonts count="18">
    <x:font>
      <x:sz val="11"/>
      <x:name val="Carlito"/>
    </x:font>
    <x:font>
      <x:sz val="10"/>
      <x:color rgb="FF334155"/>
      <x:name val="Aptos"/>
    </x:font>
    <x:font>
      <x:b/>
      <x:sz val="10"/>
      <x:color rgb="FFFFFFFF"/>
      <x:name val="Aptos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FF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000FF"/>
      <x:name val="Aptos"/>
    </x:font>
    <x:font>
      <x:b/>
      <x:sz val="20"/>
      <x:color rgb="FFFFFFFF"/>
      <x:name val="Aptos Display"/>
    </x:font>
    <x:font>
      <x:b/>
      <x:sz val="22"/>
      <x:color rgb="FF101820"/>
      <x:name val="Carlito"/>
    </x:font>
    <x:font>
      <x:b/>
      <x:sz val="10"/>
      <x:color rgb="FF101820"/>
      <x:name val="Carlito"/>
    </x:font>
    <x:font>
      <x:b/>
      <x:sz val="10"/>
      <x:color rgb="FF101820"/>
      <x:name val="Aptos"/>
    </x:font>
    <x:font>
      <x:b/>
      <x:sz val="22"/>
      <x:color rgb="FF101820"/>
      <x:name val="Aptos"/>
    </x:font>
    <x:font>
      <x:b/>
      <x:sz val="10"/>
      <x:color rgb="FFFFFFFF"/>
      <x:name val="Carlito"/>
    </x:font>
    <x:font>
      <x:b/>
      <x:sz val="11"/>
      <x:color rgb="FF101820"/>
      <x:name val="Carlito"/>
    </x:font>
    <x:font>
      <x:b/>
      <x:sz val="11"/>
      <x:color rgb="FF10182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FF6B00"/>
      </x:patternFill>
    </x:fill>
    <x:fill>
      <x:patternFill patternType="solid">
        <x:fgColor rgb="FFDDEBF7"/>
      </x:patternFill>
    </x:fill>
    <x:fill>
      <x:patternFill patternType="solid">
        <x:fgColor rgb="FF334155"/>
      </x:patternFill>
    </x:fill>
    <x:fill>
      <x:patternFill patternType="solid">
        <x:fgColor rgb="FFFFFFFF"/>
      </x:patternFill>
    </x:fill>
    <x:fill>
      <x:patternFill patternType="solid">
        <x:fgColor rgb="FF00A6A6"/>
      </x:patternFill>
    </x:fill>
    <x:fill>
      <x:patternFill patternType="solid">
        <x:fgColor rgb="FF2DBE8C"/>
      </x:patternFill>
    </x:fill>
    <x:fill>
      <x:patternFill patternType="solid">
        <x:fgColor rgb="FFE63946"/>
      </x:patternFill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68">
    <x:border/>
    <x:border>
      <x:left style="thin">
        <x:color rgb="FF101820"/>
      </x:left>
      <x:top style="thin">
        <x:color rgb="FF101820"/>
      </x:top>
      <x:bottom style="thin">
        <x:color rgb="FF101820"/>
      </x:bottom>
    </x:border>
    <x:border>
      <x:top style="thin">
        <x:color rgb="FF101820"/>
      </x:top>
      <x:bottom style="thin">
        <x:color rgb="FF101820"/>
      </x:bottom>
    </x:border>
    <x:border>
      <x:right style="thin">
        <x:color rgb="FF101820"/>
      </x:right>
      <x:top style="thin">
        <x:color rgb="FF101820"/>
      </x:top>
      <x:bottom style="thin">
        <x:color rgb="FF101820"/>
      </x:bottom>
    </x:border>
    <x:border>
      <x:left style="medium">
        <x:color rgb="FF101820"/>
      </x:left>
      <x:top style="medium">
        <x:color rgb="FF101820"/>
      </x:top>
    </x:border>
    <x:border>
      <x:top style="medium">
        <x:color rgb="FF101820"/>
      </x:top>
    </x:border>
    <x:border>
      <x:right style="medium">
        <x:color rgb="FF101820"/>
      </x:right>
      <x:top style="medium">
        <x:color rgb="FF101820"/>
      </x:top>
    </x:border>
    <x:border>
      <x:left style="medium">
        <x:color rgb="FF101820"/>
      </x:left>
      <x:bottom style="medium">
        <x:color rgb="FF101820"/>
      </x:bottom>
    </x:border>
    <x:border>
      <x:bottom style="medium">
        <x:color rgb="FF101820"/>
      </x:bottom>
    </x:border>
    <x:border>
      <x:right style="medium">
        <x:color rgb="FF101820"/>
      </x:right>
      <x:bottom style="medium">
        <x:color rgb="FF101820"/>
      </x:bottom>
    </x:border>
    <x:border>
      <x:left style="thin">
        <x:color rgb="FF00A6A6"/>
      </x:left>
      <x:right style="thin">
        <x:color rgb="FF00A6A6"/>
      </x:right>
      <x:top style="thin">
        <x:color rgb="FF00A6A6"/>
      </x:top>
    </x:border>
    <x:border>
      <x:left style="thin">
        <x:color rgb="FF00A6A6"/>
      </x:left>
      <x:right style="thin">
        <x:color rgb="FF00A6A6"/>
      </x:right>
    </x:border>
    <x:border>
      <x:left style="thin">
        <x:color rgb="FF00A6A6"/>
      </x:left>
      <x:right style="thin">
        <x:color rgb="FF00A6A6"/>
      </x:right>
      <x:bottom style="thin">
        <x:color rgb="FF00A6A6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left style="medium">
        <x:color rgb="FFFF6B00"/>
      </x:left>
      <x:top style="medium">
        <x:color rgb="FFFF6B00"/>
      </x:top>
    </x:border>
    <x:border>
      <x:top style="medium">
        <x:color rgb="FFFF6B00"/>
      </x:top>
    </x:border>
    <x:border>
      <x:right style="medium">
        <x:color rgb="FFFF6B00"/>
      </x:right>
      <x:top style="medium">
        <x:color rgb="FFFF6B00"/>
      </x:top>
    </x:border>
    <x:border>
      <x:left style="medium">
        <x:color rgb="FFFF6B00"/>
      </x:left>
    </x:border>
    <x:border>
      <x:right style="medium">
        <x:color rgb="FFFF6B00"/>
      </x:right>
    </x:border>
    <x:border>
      <x:left style="medium">
        <x:color rgb="FFFF6B00"/>
      </x:left>
      <x:bottom style="medium">
        <x:color rgb="FFFF6B00"/>
      </x:bottom>
    </x:border>
    <x:border>
      <x:bottom style="medium">
        <x:color rgb="FFFF6B00"/>
      </x:bottom>
    </x:border>
    <x:border>
      <x:right style="medium">
        <x:color rgb="FFFF6B00"/>
      </x:right>
      <x:bottom style="medium">
        <x:color rgb="FFFF6B00"/>
      </x:bottom>
    </x:border>
    <x:border>
      <x:left style="medium">
        <x:color rgb="FF00A6A6"/>
      </x:left>
      <x:top style="medium">
        <x:color rgb="FF00A6A6"/>
      </x:top>
    </x:border>
    <x:border>
      <x:top style="medium">
        <x:color rgb="FF00A6A6"/>
      </x:top>
    </x:border>
    <x:border>
      <x:right style="medium">
        <x:color rgb="FF00A6A6"/>
      </x:right>
      <x:top style="medium">
        <x:color rgb="FF00A6A6"/>
      </x:top>
    </x:border>
    <x:border>
      <x:left style="medium">
        <x:color rgb="FF00A6A6"/>
      </x:left>
    </x:border>
    <x:border>
      <x:right style="medium">
        <x:color rgb="FF00A6A6"/>
      </x:right>
    </x:border>
    <x:border>
      <x:left style="medium">
        <x:color rgb="FF00A6A6"/>
      </x:left>
      <x:bottom style="medium">
        <x:color rgb="FF00A6A6"/>
      </x:bottom>
    </x:border>
    <x:border>
      <x:bottom style="medium">
        <x:color rgb="FF00A6A6"/>
      </x:bottom>
    </x:border>
    <x:border>
      <x:right style="medium">
        <x:color rgb="FF00A6A6"/>
      </x:right>
      <x:bottom style="medium">
        <x:color rgb="FF00A6A6"/>
      </x:bottom>
    </x:border>
    <x:border>
      <x:left style="medium">
        <x:color rgb="FF334155"/>
      </x:left>
      <x:top style="medium">
        <x:color rgb="FF334155"/>
      </x:top>
    </x:border>
    <x:border>
      <x:top style="medium">
        <x:color rgb="FF334155"/>
      </x:top>
    </x:border>
    <x:border>
      <x:right style="medium">
        <x:color rgb="FF334155"/>
      </x:right>
      <x:top style="medium">
        <x:color rgb="FF334155"/>
      </x:top>
    </x:border>
    <x:border>
      <x:left style="medium">
        <x:color rgb="FF334155"/>
      </x:left>
    </x:border>
    <x:border>
      <x:right style="medium">
        <x:color rgb="FF334155"/>
      </x:right>
    </x:border>
    <x:border>
      <x:left style="medium">
        <x:color rgb="FF334155"/>
      </x:left>
      <x:bottom style="medium">
        <x:color rgb="FF334155"/>
      </x:bottom>
    </x:border>
    <x:border>
      <x:bottom style="medium">
        <x:color rgb="FF334155"/>
      </x:bottom>
    </x:border>
    <x:border>
      <x:right style="medium">
        <x:color rgb="FF334155"/>
      </x:right>
      <x:bottom style="medium">
        <x:color rgb="FF334155"/>
      </x:bottom>
    </x:border>
    <x:border>
      <x:left style="medium">
        <x:color rgb="FF2DBE8C"/>
      </x:left>
      <x:top style="medium">
        <x:color rgb="FF2DBE8C"/>
      </x:top>
    </x:border>
    <x:border>
      <x:top style="medium">
        <x:color rgb="FF2DBE8C"/>
      </x:top>
    </x:border>
    <x:border>
      <x:right style="medium">
        <x:color rgb="FF2DBE8C"/>
      </x:right>
      <x:top style="medium">
        <x:color rgb="FF2DBE8C"/>
      </x:top>
    </x:border>
    <x:border>
      <x:left style="medium">
        <x:color rgb="FF2DBE8C"/>
      </x:left>
    </x:border>
    <x:border>
      <x:right style="medium">
        <x:color rgb="FF2DBE8C"/>
      </x:right>
    </x:border>
    <x:border>
      <x:left style="medium">
        <x:color rgb="FF2DBE8C"/>
      </x:left>
      <x:bottom style="medium">
        <x:color rgb="FF2DBE8C"/>
      </x:bottom>
    </x:border>
    <x:border>
      <x:bottom style="medium">
        <x:color rgb="FF2DBE8C"/>
      </x:bottom>
    </x:border>
    <x:border>
      <x:right style="medium">
        <x:color rgb="FF2DBE8C"/>
      </x:right>
      <x:bottom style="medium">
        <x:color rgb="FF2DBE8C"/>
      </x:bottom>
    </x:border>
    <x:border>
      <x:left style="medium">
        <x:color rgb="FFE63946"/>
      </x:left>
      <x:top style="medium">
        <x:color rgb="FFE63946"/>
      </x:top>
    </x:border>
    <x:border>
      <x:top style="medium">
        <x:color rgb="FFE63946"/>
      </x:top>
    </x:border>
    <x:border>
      <x:right style="medium">
        <x:color rgb="FFE63946"/>
      </x:right>
      <x:top style="medium">
        <x:color rgb="FFE63946"/>
      </x:top>
    </x:border>
    <x:border>
      <x:left style="medium">
        <x:color rgb="FFE63946"/>
      </x:left>
      <x:bottom style="medium">
        <x:color rgb="FFE63946"/>
      </x:bottom>
    </x:border>
    <x:border>
      <x:bottom style="medium">
        <x:color rgb="FFE63946"/>
      </x:bottom>
    </x:border>
    <x:border>
      <x:right style="medium">
        <x:color rgb="FFE63946"/>
      </x:right>
      <x:bottom style="medium">
        <x:color rgb="FFE63946"/>
      </x:bottom>
    </x:border>
    <x:border>
      <x:left style="thin">
        <x:color rgb="FFFF6B00"/>
      </x:left>
      <x:top style="thin">
        <x:color rgb="FFFF6B00"/>
      </x:top>
    </x:border>
    <x:border>
      <x:top style="thin">
        <x:color rgb="FFFF6B00"/>
      </x:top>
    </x:border>
    <x:border>
      <x:right style="thin">
        <x:color rgb="FFFF6B00"/>
      </x:right>
      <x:top style="thin">
        <x:color rgb="FFFF6B00"/>
      </x:top>
    </x:border>
    <x:border>
      <x:left style="thin">
        <x:color rgb="FFFF6B00"/>
      </x:left>
    </x:border>
    <x:border>
      <x:right style="thin">
        <x:color rgb="FFFF6B00"/>
      </x:right>
    </x:border>
    <x:border>
      <x:left style="thin">
        <x:color rgb="FFFF6B00"/>
      </x:left>
      <x:bottom style="thin">
        <x:color rgb="FFFF6B00"/>
      </x:bottom>
    </x:border>
    <x:border>
      <x:bottom style="thin">
        <x:color rgb="FFFF6B00"/>
      </x:bottom>
    </x:border>
    <x:border>
      <x:right style="thin">
        <x:color rgb="FFFF6B00"/>
      </x:right>
      <x:bottom style="thin">
        <x:color rgb="FFFF6B00"/>
      </x:bottom>
    </x:border>
  </x:borders>
  <x:cellStyleXfs count="1">
    <x:xf numFmtId="0" fontId="0" fillId="0" borderId="0"/>
  </x:cellStyleXfs>
  <x:cellXfs count="60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204" fontId="1" fillId="0" borderId="0" xfId="0" applyNumberFormat="1" applyFont="1" applyFill="1" applyBorder="1"/>
    <x:xf numFmtId="204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0" borderId="0" xfId="0" applyNumberFormat="1" applyFont="1" applyFill="1" applyBorder="1"/>
    <x:xf numFmtId="206" fontId="1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left" wrapText="1"/>
    </x:xf>
    <x:xf numFmtId="0" fontId="3" fillId="2" borderId="5" xfId="0" applyNumberFormat="1" applyFont="1" applyFill="1" applyBorder="1" applyAlignment="1">
      <x:alignment horizontal="left" wrapText="1"/>
    </x:xf>
    <x:xf numFmtId="0" fontId="3" fillId="2" borderId="6" xfId="0" applyNumberFormat="1" applyFont="1" applyFill="1" applyBorder="1" applyAlignment="1">
      <x:alignment horizontal="left" wrapText="1"/>
    </x:xf>
    <x:xf numFmtId="0" fontId="3" fillId="2" borderId="7" xfId="0" applyNumberFormat="1" applyFont="1" applyFill="1" applyBorder="1" applyAlignment="1">
      <x:alignment horizontal="left" wrapText="1"/>
    </x:xf>
    <x:xf numFmtId="0" fontId="3" fillId="2" borderId="8" xfId="0" applyNumberFormat="1" applyFont="1" applyFill="1" applyBorder="1" applyAlignment="1">
      <x:alignment horizontal="left" wrapText="1"/>
    </x:xf>
    <x:xf numFmtId="0" fontId="3" fillId="2" borderId="9" xfId="0" applyNumberFormat="1" applyFont="1" applyFill="1" applyBorder="1" applyAlignment="1">
      <x:alignment horizontal="left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3" fillId="2" borderId="5" xfId="0" applyNumberFormat="1" applyFont="1" applyFill="1" applyBorder="1" applyAlignment="1">
      <x:alignment horizontal="left" vertical="center" wrapText="1"/>
    </x:xf>
    <x:xf numFmtId="0" fontId="3" fillId="2" borderId="6" xfId="0" applyNumberFormat="1" applyFont="1" applyFill="1" applyBorder="1" applyAlignment="1">
      <x:alignment horizontal="left" vertical="center" wrapText="1"/>
    </x:xf>
    <x:xf numFmtId="0" fontId="3" fillId="2" borderId="7" xfId="0" applyNumberFormat="1" applyFont="1" applyFill="1" applyBorder="1" applyAlignment="1">
      <x:alignment horizontal="left" vertical="center" wrapText="1"/>
    </x:xf>
    <x:xf numFmtId="0" fontId="3" fillId="2" borderId="8" xfId="0" applyNumberFormat="1" applyFont="1" applyFill="1" applyBorder="1" applyAlignment="1">
      <x:alignment horizontal="left" vertical="center" wrapText="1"/>
    </x:xf>
    <x:xf numFmtId="0" fontId="3" fillId="2" borderId="9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201" fontId="5" fillId="4" borderId="10" xfId="0" applyNumberFormat="1" applyFont="1" applyFill="1" applyBorder="1"/>
    <x:xf numFmtId="201" fontId="5" fillId="4" borderId="11" xfId="0" applyNumberFormat="1" applyFont="1" applyFill="1" applyBorder="1"/>
    <x:xf numFmtId="207" fontId="5" fillId="4" borderId="11" xfId="0" applyNumberFormat="1" applyFont="1" applyFill="1" applyBorder="1"/>
    <x:xf numFmtId="206" fontId="5" fillId="4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0" fillId="0" borderId="16" xfId="0" applyNumberFormat="1" applyFont="1" applyFill="1" applyBorder="1"/>
    <x:xf numFmtId="201" fontId="5" fillId="4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7" fontId="5" fillId="4" borderId="17" xfId="0" applyNumberFormat="1" applyFont="1" applyFill="1" applyBorder="1"/>
    <x:xf numFmtId="0" fontId="0" fillId="0" borderId="19" xfId="0" applyNumberFormat="1" applyFont="1" applyFill="1" applyBorder="1"/>
    <x:xf numFmtId="206" fontId="5" fillId="4" borderId="20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6" fillId="2" borderId="4" xfId="0" applyNumberFormat="1" applyFont="1" applyFill="1" applyBorder="1" applyAlignment="1">
      <x:alignment horizontal="left" vertical="center" wrapText="1"/>
    </x:xf>
    <x:xf numFmtId="0" fontId="6" fillId="2" borderId="5" xfId="0" applyNumberFormat="1" applyFont="1" applyFill="1" applyBorder="1" applyAlignment="1">
      <x:alignment horizontal="left" vertical="center" wrapText="1"/>
    </x:xf>
    <x:xf numFmtId="0" fontId="6" fillId="2" borderId="6" xfId="0" applyNumberFormat="1" applyFont="1" applyFill="1" applyBorder="1" applyAlignment="1">
      <x:alignment horizontal="left" vertical="center" wrapText="1"/>
    </x:xf>
    <x:xf numFmtId="0" fontId="6" fillId="2" borderId="7" xfId="0" applyNumberFormat="1" applyFont="1" applyFill="1" applyBorder="1" applyAlignment="1">
      <x:alignment horizontal="left" vertical="center" wrapText="1"/>
    </x:xf>
    <x:xf numFmtId="0" fontId="6" fillId="2" borderId="8" xfId="0" applyNumberFormat="1" applyFont="1" applyFill="1" applyBorder="1" applyAlignment="1">
      <x:alignment horizontal="left" vertical="center" wrapText="1"/>
    </x:xf>
    <x:xf numFmtId="0" fontId="6" fillId="2" borderId="9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/>
    <x:xf numFmtId="0" fontId="8" fillId="3" borderId="13" xfId="0" applyNumberFormat="1" applyFont="1" applyFill="1" applyBorder="1"/>
    <x:xf numFmtId="0" fontId="8" fillId="3" borderId="14" xfId="0" applyNumberFormat="1" applyFont="1" applyFill="1" applyBorder="1"/>
    <x:xf numFmtId="0" fontId="8" fillId="3" borderId="15" xfId="0" applyNumberFormat="1" applyFont="1" applyFill="1" applyBorder="1"/>
    <x:xf numFmtId="0" fontId="7" fillId="0" borderId="16" xfId="0" applyNumberFormat="1" applyFont="1" applyFill="1" applyBorder="1"/>
    <x:xf numFmtId="201" fontId="9" fillId="4" borderId="17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207" fontId="9" fillId="4" borderId="17" xfId="0" applyNumberFormat="1" applyFont="1" applyFill="1" applyBorder="1"/>
    <x:xf numFmtId="0" fontId="7" fillId="0" borderId="19" xfId="0" applyNumberFormat="1" applyFont="1" applyFill="1" applyBorder="1"/>
    <x:xf numFmtId="206" fontId="9" fillId="4" borderId="20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8" fillId="5" borderId="0" xfId="0" applyNumberFormat="1" applyFont="1" applyFill="1" applyBorder="1"/>
    <x:xf numFmtId="0" fontId="10" fillId="2" borderId="4" xfId="0" applyNumberFormat="1" applyFont="1" applyFill="1" applyBorder="1" applyAlignment="1">
      <x:alignment horizontal="left" vertical="center" wrapText="1"/>
    </x:xf>
    <x:xf numFmtId="0" fontId="10" fillId="2" borderId="5" xfId="0" applyNumberFormat="1" applyFont="1" applyFill="1" applyBorder="1" applyAlignment="1">
      <x:alignment horizontal="left" vertical="center" wrapText="1"/>
    </x:xf>
    <x:xf numFmtId="0" fontId="10" fillId="2" borderId="6" xfId="0" applyNumberFormat="1" applyFont="1" applyFill="1" applyBorder="1" applyAlignment="1">
      <x:alignment horizontal="left" vertical="center" wrapText="1"/>
    </x:xf>
    <x:xf numFmtId="0" fontId="10" fillId="2" borderId="7" xfId="0" applyNumberFormat="1" applyFont="1" applyFill="1" applyBorder="1" applyAlignment="1">
      <x:alignment horizontal="left" vertical="center" wrapText="1"/>
    </x:xf>
    <x:xf numFmtId="0" fontId="10" fillId="2" borderId="8" xfId="0" applyNumberFormat="1" applyFont="1" applyFill="1" applyBorder="1" applyAlignment="1">
      <x:alignment horizontal="left" vertical="center" wrapText="1"/>
    </x:xf>
    <x:xf numFmtId="0" fontId="10" fillId="2" borderId="9" xfId="0" applyNumberFormat="1" applyFont="1" applyFill="1" applyBorder="1" applyAlignment="1">
      <x:alignment horizontal="left" vertical="center" wrapText="1"/>
    </x:xf>
    <x:xf numFmtId="0" fontId="8" fillId="3" borderId="13" xfId="0" applyNumberFormat="1" applyFont="1" applyFill="1" applyBorder="1" applyAlignment="1">
      <x:alignment wrapText="1"/>
    </x:xf>
    <x:xf numFmtId="0" fontId="8" fillId="3" borderId="14" xfId="0" applyNumberFormat="1" applyFont="1" applyFill="1" applyBorder="1" applyAlignment="1">
      <x:alignment wrapText="1"/>
    </x:xf>
    <x:xf numFmtId="0" fontId="8" fillId="3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201" fontId="9" fillId="4" borderId="17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207" fontId="9" fillId="4" borderId="17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206" fontId="9" fillId="4" borderId="20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22" xfId="0" applyNumberFormat="1" applyFont="1" applyFill="1" applyBorder="1"/>
    <x:xf numFmtId="0" fontId="11" fillId="6" borderId="23" xfId="0" applyNumberFormat="1" applyFont="1" applyFill="1" applyBorder="1"/>
    <x:xf numFmtId="0" fontId="11" fillId="6" borderId="24" xfId="0" applyNumberFormat="1" applyFont="1" applyFill="1" applyBorder="1"/>
    <x:xf numFmtId="0" fontId="11" fillId="6" borderId="25" xfId="0" applyNumberFormat="1" applyFont="1" applyFill="1" applyBorder="1"/>
    <x:xf numFmtId="0" fontId="11" fillId="6" borderId="26" xfId="0" applyNumberFormat="1" applyFont="1" applyFill="1" applyBorder="1"/>
    <x:xf numFmtId="0" fontId="11" fillId="6" borderId="27" xfId="0" applyNumberFormat="1" applyFont="1" applyFill="1" applyBorder="1"/>
    <x:xf numFmtId="0" fontId="11" fillId="6" borderId="28" xfId="0" applyNumberFormat="1" applyFont="1" applyFill="1" applyBorder="1"/>
    <x:xf numFmtId="0" fontId="11" fillId="6" borderId="29" xfId="0" applyNumberFormat="1" applyFont="1" applyFill="1" applyBorder="1"/>
    <x:xf numFmtId="201" fontId="11" fillId="6" borderId="22" xfId="0" applyNumberFormat="1" applyFont="1" applyFill="1" applyBorder="1"/>
    <x:xf numFmtId="201" fontId="11" fillId="6" borderId="23" xfId="0" applyNumberFormat="1" applyFont="1" applyFill="1" applyBorder="1"/>
    <x:xf numFmtId="201" fontId="11" fillId="6" borderId="24" xfId="0" applyNumberFormat="1" applyFont="1" applyFill="1" applyBorder="1"/>
    <x:xf numFmtId="201" fontId="11" fillId="6" borderId="25" xfId="0" applyNumberFormat="1" applyFont="1" applyFill="1" applyBorder="1"/>
    <x:xf numFmtId="201" fontId="11" fillId="6" borderId="0" xfId="0" applyNumberFormat="1" applyFont="1" applyFill="1" applyBorder="1"/>
    <x:xf numFmtId="201" fontId="11" fillId="6" borderId="26" xfId="0" applyNumberFormat="1" applyFont="1" applyFill="1" applyBorder="1"/>
    <x:xf numFmtId="201" fontId="11" fillId="6" borderId="27" xfId="0" applyNumberFormat="1" applyFont="1" applyFill="1" applyBorder="1"/>
    <x:xf numFmtId="201" fontId="11" fillId="6" borderId="28" xfId="0" applyNumberFormat="1" applyFont="1" applyFill="1" applyBorder="1"/>
    <x:xf numFmtId="201" fontId="11" fillId="6" borderId="29" xfId="0" applyNumberFormat="1" applyFont="1" applyFill="1" applyBorder="1"/>
    <x:xf numFmtId="201" fontId="11" fillId="6" borderId="22" xfId="0" applyNumberFormat="1" applyFont="1" applyFill="1" applyBorder="1" applyAlignment="1">
      <x:alignment horizontal="center"/>
    </x:xf>
    <x:xf numFmtId="201" fontId="11" fillId="6" borderId="23" xfId="0" applyNumberFormat="1" applyFont="1" applyFill="1" applyBorder="1" applyAlignment="1">
      <x:alignment horizontal="center"/>
    </x:xf>
    <x:xf numFmtId="201" fontId="11" fillId="6" borderId="24" xfId="0" applyNumberFormat="1" applyFont="1" applyFill="1" applyBorder="1" applyAlignment="1">
      <x:alignment horizontal="center"/>
    </x:xf>
    <x:xf numFmtId="201" fontId="11" fillId="6" borderId="25" xfId="0" applyNumberFormat="1" applyFont="1" applyFill="1" applyBorder="1" applyAlignment="1">
      <x:alignment horizontal="center"/>
    </x:xf>
    <x:xf numFmtId="201" fontId="11" fillId="6" borderId="0" xfId="0" applyNumberFormat="1" applyFont="1" applyFill="1" applyBorder="1" applyAlignment="1">
      <x:alignment horizontal="center"/>
    </x:xf>
    <x:xf numFmtId="201" fontId="11" fillId="6" borderId="26" xfId="0" applyNumberFormat="1" applyFont="1" applyFill="1" applyBorder="1" applyAlignment="1">
      <x:alignment horizontal="center"/>
    </x:xf>
    <x:xf numFmtId="201" fontId="11" fillId="6" borderId="27" xfId="0" applyNumberFormat="1" applyFont="1" applyFill="1" applyBorder="1" applyAlignment="1">
      <x:alignment horizontal="center"/>
    </x:xf>
    <x:xf numFmtId="201" fontId="11" fillId="6" borderId="28" xfId="0" applyNumberFormat="1" applyFont="1" applyFill="1" applyBorder="1" applyAlignment="1">
      <x:alignment horizontal="center"/>
    </x:xf>
    <x:xf numFmtId="201" fontId="11" fillId="6" borderId="29" xfId="0" applyNumberFormat="1" applyFont="1" applyFill="1" applyBorder="1" applyAlignment="1">
      <x:alignment horizontal="center"/>
    </x:xf>
    <x:xf numFmtId="201" fontId="11" fillId="6" borderId="22" xfId="0" applyNumberFormat="1" applyFont="1" applyFill="1" applyBorder="1" applyAlignment="1">
      <x:alignment horizontal="center" vertical="center"/>
    </x:xf>
    <x:xf numFmtId="201" fontId="11" fillId="6" borderId="23" xfId="0" applyNumberFormat="1" applyFont="1" applyFill="1" applyBorder="1" applyAlignment="1">
      <x:alignment horizontal="center" vertical="center"/>
    </x:xf>
    <x:xf numFmtId="201" fontId="11" fillId="6" borderId="24" xfId="0" applyNumberFormat="1" applyFont="1" applyFill="1" applyBorder="1" applyAlignment="1">
      <x:alignment horizontal="center" vertical="center"/>
    </x:xf>
    <x:xf numFmtId="201" fontId="11" fillId="6" borderId="25" xfId="0" applyNumberFormat="1" applyFont="1" applyFill="1" applyBorder="1" applyAlignment="1">
      <x:alignment horizontal="center" vertical="center"/>
    </x:xf>
    <x:xf numFmtId="201" fontId="11" fillId="6" borderId="0" xfId="0" applyNumberFormat="1" applyFont="1" applyFill="1" applyBorder="1" applyAlignment="1">
      <x:alignment horizontal="center" vertical="center"/>
    </x:xf>
    <x:xf numFmtId="201" fontId="11" fillId="6" borderId="26" xfId="0" applyNumberFormat="1" applyFont="1" applyFill="1" applyBorder="1" applyAlignment="1">
      <x:alignment horizontal="center" vertical="center"/>
    </x:xf>
    <x:xf numFmtId="201" fontId="11" fillId="6" borderId="27" xfId="0" applyNumberFormat="1" applyFont="1" applyFill="1" applyBorder="1" applyAlignment="1">
      <x:alignment horizontal="center" vertical="center"/>
    </x:xf>
    <x:xf numFmtId="201" fontId="11" fillId="6" borderId="28" xfId="0" applyNumberFormat="1" applyFont="1" applyFill="1" applyBorder="1" applyAlignment="1">
      <x:alignment horizontal="center" vertical="center"/>
    </x:xf>
    <x:xf numFmtId="201" fontId="11" fillId="6" borderId="2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11" fillId="6" borderId="30" xfId="0" applyNumberFormat="1" applyFont="1" applyFill="1" applyBorder="1"/>
    <x:xf numFmtId="0" fontId="11" fillId="6" borderId="31" xfId="0" applyNumberFormat="1" applyFont="1" applyFill="1" applyBorder="1"/>
    <x:xf numFmtId="0" fontId="11" fillId="6" borderId="32" xfId="0" applyNumberFormat="1" applyFont="1" applyFill="1" applyBorder="1"/>
    <x:xf numFmtId="0" fontId="11" fillId="6" borderId="33" xfId="0" applyNumberFormat="1" applyFont="1" applyFill="1" applyBorder="1"/>
    <x:xf numFmtId="0" fontId="11" fillId="6" borderId="34" xfId="0" applyNumberFormat="1" applyFont="1" applyFill="1" applyBorder="1"/>
    <x:xf numFmtId="0" fontId="11" fillId="6" borderId="35" xfId="0" applyNumberFormat="1" applyFont="1" applyFill="1" applyBorder="1"/>
    <x:xf numFmtId="0" fontId="11" fillId="6" borderId="36" xfId="0" applyNumberFormat="1" applyFont="1" applyFill="1" applyBorder="1"/>
    <x:xf numFmtId="0" fontId="11" fillId="6" borderId="37" xfId="0" applyNumberFormat="1" applyFont="1" applyFill="1" applyBorder="1"/>
    <x:xf numFmtId="201" fontId="11" fillId="6" borderId="30" xfId="0" applyNumberFormat="1" applyFont="1" applyFill="1" applyBorder="1"/>
    <x:xf numFmtId="201" fontId="11" fillId="6" borderId="31" xfId="0" applyNumberFormat="1" applyFont="1" applyFill="1" applyBorder="1"/>
    <x:xf numFmtId="201" fontId="11" fillId="6" borderId="32" xfId="0" applyNumberFormat="1" applyFont="1" applyFill="1" applyBorder="1"/>
    <x:xf numFmtId="201" fontId="11" fillId="6" borderId="33" xfId="0" applyNumberFormat="1" applyFont="1" applyFill="1" applyBorder="1"/>
    <x:xf numFmtId="201" fontId="11" fillId="6" borderId="34" xfId="0" applyNumberFormat="1" applyFont="1" applyFill="1" applyBorder="1"/>
    <x:xf numFmtId="201" fontId="11" fillId="6" borderId="35" xfId="0" applyNumberFormat="1" applyFont="1" applyFill="1" applyBorder="1"/>
    <x:xf numFmtId="201" fontId="11" fillId="6" borderId="36" xfId="0" applyNumberFormat="1" applyFont="1" applyFill="1" applyBorder="1"/>
    <x:xf numFmtId="201" fontId="11" fillId="6" borderId="37" xfId="0" applyNumberFormat="1" applyFont="1" applyFill="1" applyBorder="1"/>
    <x:xf numFmtId="201" fontId="11" fillId="6" borderId="30" xfId="0" applyNumberFormat="1" applyFont="1" applyFill="1" applyBorder="1" applyAlignment="1">
      <x:alignment horizontal="center"/>
    </x:xf>
    <x:xf numFmtId="201" fontId="11" fillId="6" borderId="31" xfId="0" applyNumberFormat="1" applyFont="1" applyFill="1" applyBorder="1" applyAlignment="1">
      <x:alignment horizontal="center"/>
    </x:xf>
    <x:xf numFmtId="201" fontId="11" fillId="6" borderId="32" xfId="0" applyNumberFormat="1" applyFont="1" applyFill="1" applyBorder="1" applyAlignment="1">
      <x:alignment horizontal="center"/>
    </x:xf>
    <x:xf numFmtId="201" fontId="11" fillId="6" borderId="33" xfId="0" applyNumberFormat="1" applyFont="1" applyFill="1" applyBorder="1" applyAlignment="1">
      <x:alignment horizontal="center"/>
    </x:xf>
    <x:xf numFmtId="201" fontId="11" fillId="6" borderId="34" xfId="0" applyNumberFormat="1" applyFont="1" applyFill="1" applyBorder="1" applyAlignment="1">
      <x:alignment horizontal="center"/>
    </x:xf>
    <x:xf numFmtId="201" fontId="11" fillId="6" borderId="35" xfId="0" applyNumberFormat="1" applyFont="1" applyFill="1" applyBorder="1" applyAlignment="1">
      <x:alignment horizontal="center"/>
    </x:xf>
    <x:xf numFmtId="201" fontId="11" fillId="6" borderId="36" xfId="0" applyNumberFormat="1" applyFont="1" applyFill="1" applyBorder="1" applyAlignment="1">
      <x:alignment horizontal="center"/>
    </x:xf>
    <x:xf numFmtId="201" fontId="11" fillId="6" borderId="37" xfId="0" applyNumberFormat="1" applyFont="1" applyFill="1" applyBorder="1" applyAlignment="1">
      <x:alignment horizontal="center"/>
    </x:xf>
    <x:xf numFmtId="201" fontId="11" fillId="6" borderId="30" xfId="0" applyNumberFormat="1" applyFont="1" applyFill="1" applyBorder="1" applyAlignment="1">
      <x:alignment horizontal="center" vertical="center"/>
    </x:xf>
    <x:xf numFmtId="201" fontId="11" fillId="6" borderId="31" xfId="0" applyNumberFormat="1" applyFont="1" applyFill="1" applyBorder="1" applyAlignment="1">
      <x:alignment horizontal="center" vertical="center"/>
    </x:xf>
    <x:xf numFmtId="201" fontId="11" fillId="6" borderId="32" xfId="0" applyNumberFormat="1" applyFont="1" applyFill="1" applyBorder="1" applyAlignment="1">
      <x:alignment horizontal="center" vertical="center"/>
    </x:xf>
    <x:xf numFmtId="201" fontId="11" fillId="6" borderId="33" xfId="0" applyNumberFormat="1" applyFont="1" applyFill="1" applyBorder="1" applyAlignment="1">
      <x:alignment horizontal="center" vertical="center"/>
    </x:xf>
    <x:xf numFmtId="201" fontId="11" fillId="6" borderId="34" xfId="0" applyNumberFormat="1" applyFont="1" applyFill="1" applyBorder="1" applyAlignment="1">
      <x:alignment horizontal="center" vertical="center"/>
    </x:xf>
    <x:xf numFmtId="201" fontId="11" fillId="6" borderId="35" xfId="0" applyNumberFormat="1" applyFont="1" applyFill="1" applyBorder="1" applyAlignment="1">
      <x:alignment horizontal="center" vertical="center"/>
    </x:xf>
    <x:xf numFmtId="201" fontId="11" fillId="6" borderId="36" xfId="0" applyNumberFormat="1" applyFont="1" applyFill="1" applyBorder="1" applyAlignment="1">
      <x:alignment horizontal="center" vertical="center"/>
    </x:xf>
    <x:xf numFmtId="201" fontId="11" fillId="6" borderId="37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11" fillId="6" borderId="38" xfId="0" applyNumberFormat="1" applyFont="1" applyFill="1" applyBorder="1"/>
    <x:xf numFmtId="0" fontId="11" fillId="6" borderId="39" xfId="0" applyNumberFormat="1" applyFont="1" applyFill="1" applyBorder="1"/>
    <x:xf numFmtId="0" fontId="11" fillId="6" borderId="40" xfId="0" applyNumberFormat="1" applyFont="1" applyFill="1" applyBorder="1"/>
    <x:xf numFmtId="0" fontId="11" fillId="6" borderId="41" xfId="0" applyNumberFormat="1" applyFont="1" applyFill="1" applyBorder="1"/>
    <x:xf numFmtId="0" fontId="11" fillId="6" borderId="42" xfId="0" applyNumberFormat="1" applyFont="1" applyFill="1" applyBorder="1"/>
    <x:xf numFmtId="0" fontId="11" fillId="6" borderId="43" xfId="0" applyNumberFormat="1" applyFont="1" applyFill="1" applyBorder="1"/>
    <x:xf numFmtId="0" fontId="11" fillId="6" borderId="44" xfId="0" applyNumberFormat="1" applyFont="1" applyFill="1" applyBorder="1"/>
    <x:xf numFmtId="0" fontId="11" fillId="6" borderId="45" xfId="0" applyNumberFormat="1" applyFont="1" applyFill="1" applyBorder="1"/>
    <x:xf numFmtId="201" fontId="11" fillId="6" borderId="38" xfId="0" applyNumberFormat="1" applyFont="1" applyFill="1" applyBorder="1"/>
    <x:xf numFmtId="201" fontId="11" fillId="6" borderId="39" xfId="0" applyNumberFormat="1" applyFont="1" applyFill="1" applyBorder="1"/>
    <x:xf numFmtId="201" fontId="11" fillId="6" borderId="40" xfId="0" applyNumberFormat="1" applyFont="1" applyFill="1" applyBorder="1"/>
    <x:xf numFmtId="201" fontId="11" fillId="6" borderId="41" xfId="0" applyNumberFormat="1" applyFont="1" applyFill="1" applyBorder="1"/>
    <x:xf numFmtId="201" fontId="11" fillId="6" borderId="42" xfId="0" applyNumberFormat="1" applyFont="1" applyFill="1" applyBorder="1"/>
    <x:xf numFmtId="201" fontId="11" fillId="6" borderId="43" xfId="0" applyNumberFormat="1" applyFont="1" applyFill="1" applyBorder="1"/>
    <x:xf numFmtId="201" fontId="11" fillId="6" borderId="44" xfId="0" applyNumberFormat="1" applyFont="1" applyFill="1" applyBorder="1"/>
    <x:xf numFmtId="201" fontId="11" fillId="6" borderId="45" xfId="0" applyNumberFormat="1" applyFont="1" applyFill="1" applyBorder="1"/>
    <x:xf numFmtId="201" fontId="11" fillId="6" borderId="38" xfId="0" applyNumberFormat="1" applyFont="1" applyFill="1" applyBorder="1" applyAlignment="1">
      <x:alignment horizontal="center"/>
    </x:xf>
    <x:xf numFmtId="201" fontId="11" fillId="6" borderId="39" xfId="0" applyNumberFormat="1" applyFont="1" applyFill="1" applyBorder="1" applyAlignment="1">
      <x:alignment horizontal="center"/>
    </x:xf>
    <x:xf numFmtId="201" fontId="11" fillId="6" borderId="40" xfId="0" applyNumberFormat="1" applyFont="1" applyFill="1" applyBorder="1" applyAlignment="1">
      <x:alignment horizontal="center"/>
    </x:xf>
    <x:xf numFmtId="201" fontId="11" fillId="6" borderId="41" xfId="0" applyNumberFormat="1" applyFont="1" applyFill="1" applyBorder="1" applyAlignment="1">
      <x:alignment horizontal="center"/>
    </x:xf>
    <x:xf numFmtId="201" fontId="11" fillId="6" borderId="42" xfId="0" applyNumberFormat="1" applyFont="1" applyFill="1" applyBorder="1" applyAlignment="1">
      <x:alignment horizontal="center"/>
    </x:xf>
    <x:xf numFmtId="201" fontId="11" fillId="6" borderId="43" xfId="0" applyNumberFormat="1" applyFont="1" applyFill="1" applyBorder="1" applyAlignment="1">
      <x:alignment horizontal="center"/>
    </x:xf>
    <x:xf numFmtId="201" fontId="11" fillId="6" borderId="44" xfId="0" applyNumberFormat="1" applyFont="1" applyFill="1" applyBorder="1" applyAlignment="1">
      <x:alignment horizontal="center"/>
    </x:xf>
    <x:xf numFmtId="201" fontId="11" fillId="6" borderId="45" xfId="0" applyNumberFormat="1" applyFont="1" applyFill="1" applyBorder="1" applyAlignment="1">
      <x:alignment horizontal="center"/>
    </x:xf>
    <x:xf numFmtId="201" fontId="11" fillId="6" borderId="38" xfId="0" applyNumberFormat="1" applyFont="1" applyFill="1" applyBorder="1" applyAlignment="1">
      <x:alignment horizontal="center" vertical="center"/>
    </x:xf>
    <x:xf numFmtId="201" fontId="11" fillId="6" borderId="39" xfId="0" applyNumberFormat="1" applyFont="1" applyFill="1" applyBorder="1" applyAlignment="1">
      <x:alignment horizontal="center" vertical="center"/>
    </x:xf>
    <x:xf numFmtId="201" fontId="11" fillId="6" borderId="40" xfId="0" applyNumberFormat="1" applyFont="1" applyFill="1" applyBorder="1" applyAlignment="1">
      <x:alignment horizontal="center" vertical="center"/>
    </x:xf>
    <x:xf numFmtId="201" fontId="11" fillId="6" borderId="41" xfId="0" applyNumberFormat="1" applyFont="1" applyFill="1" applyBorder="1" applyAlignment="1">
      <x:alignment horizontal="center" vertical="center"/>
    </x:xf>
    <x:xf numFmtId="201" fontId="11" fillId="6" borderId="42" xfId="0" applyNumberFormat="1" applyFont="1" applyFill="1" applyBorder="1" applyAlignment="1">
      <x:alignment horizontal="center" vertical="center"/>
    </x:xf>
    <x:xf numFmtId="201" fontId="11" fillId="6" borderId="43" xfId="0" applyNumberFormat="1" applyFont="1" applyFill="1" applyBorder="1" applyAlignment="1">
      <x:alignment horizontal="center" vertical="center"/>
    </x:xf>
    <x:xf numFmtId="201" fontId="11" fillId="6" borderId="44" xfId="0" applyNumberFormat="1" applyFont="1" applyFill="1" applyBorder="1" applyAlignment="1">
      <x:alignment horizontal="center" vertical="center"/>
    </x:xf>
    <x:xf numFmtId="201" fontId="11" fillId="6" borderId="4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left"/>
    </x:xf>
    <x:xf numFmtId="0" fontId="4" fillId="8" borderId="0" xfId="0" applyNumberFormat="1" applyFont="1" applyFill="1" applyBorder="1" applyAlignment="1">
      <x:alignment horizontal="left" vertical="center"/>
    </x:xf>
    <x:xf numFmtId="0" fontId="11" fillId="6" borderId="46" xfId="0" applyNumberFormat="1" applyFont="1" applyFill="1" applyBorder="1"/>
    <x:xf numFmtId="0" fontId="11" fillId="6" borderId="47" xfId="0" applyNumberFormat="1" applyFont="1" applyFill="1" applyBorder="1"/>
    <x:xf numFmtId="0" fontId="11" fillId="6" borderId="48" xfId="0" applyNumberFormat="1" applyFont="1" applyFill="1" applyBorder="1"/>
    <x:xf numFmtId="0" fontId="11" fillId="6" borderId="49" xfId="0" applyNumberFormat="1" applyFont="1" applyFill="1" applyBorder="1"/>
    <x:xf numFmtId="0" fontId="11" fillId="6" borderId="50" xfId="0" applyNumberFormat="1" applyFont="1" applyFill="1" applyBorder="1"/>
    <x:xf numFmtId="0" fontId="11" fillId="6" borderId="51" xfId="0" applyNumberFormat="1" applyFont="1" applyFill="1" applyBorder="1"/>
    <x:xf numFmtId="0" fontId="11" fillId="6" borderId="52" xfId="0" applyNumberFormat="1" applyFont="1" applyFill="1" applyBorder="1"/>
    <x:xf numFmtId="0" fontId="11" fillId="6" borderId="53" xfId="0" applyNumberFormat="1" applyFont="1" applyFill="1" applyBorder="1"/>
    <x:xf numFmtId="201" fontId="11" fillId="6" borderId="46" xfId="0" applyNumberFormat="1" applyFont="1" applyFill="1" applyBorder="1"/>
    <x:xf numFmtId="201" fontId="11" fillId="6" borderId="47" xfId="0" applyNumberFormat="1" applyFont="1" applyFill="1" applyBorder="1"/>
    <x:xf numFmtId="201" fontId="11" fillId="6" borderId="48" xfId="0" applyNumberFormat="1" applyFont="1" applyFill="1" applyBorder="1"/>
    <x:xf numFmtId="201" fontId="11" fillId="6" borderId="49" xfId="0" applyNumberFormat="1" applyFont="1" applyFill="1" applyBorder="1"/>
    <x:xf numFmtId="201" fontId="11" fillId="6" borderId="50" xfId="0" applyNumberFormat="1" applyFont="1" applyFill="1" applyBorder="1"/>
    <x:xf numFmtId="201" fontId="11" fillId="6" borderId="51" xfId="0" applyNumberFormat="1" applyFont="1" applyFill="1" applyBorder="1"/>
    <x:xf numFmtId="201" fontId="11" fillId="6" borderId="52" xfId="0" applyNumberFormat="1" applyFont="1" applyFill="1" applyBorder="1"/>
    <x:xf numFmtId="201" fontId="11" fillId="6" borderId="53" xfId="0" applyNumberFormat="1" applyFont="1" applyFill="1" applyBorder="1"/>
    <x:xf numFmtId="201" fontId="11" fillId="6" borderId="46" xfId="0" applyNumberFormat="1" applyFont="1" applyFill="1" applyBorder="1" applyAlignment="1">
      <x:alignment horizontal="center"/>
    </x:xf>
    <x:xf numFmtId="201" fontId="11" fillId="6" borderId="47" xfId="0" applyNumberFormat="1" applyFont="1" applyFill="1" applyBorder="1" applyAlignment="1">
      <x:alignment horizontal="center"/>
    </x:xf>
    <x:xf numFmtId="201" fontId="11" fillId="6" borderId="48" xfId="0" applyNumberFormat="1" applyFont="1" applyFill="1" applyBorder="1" applyAlignment="1">
      <x:alignment horizontal="center"/>
    </x:xf>
    <x:xf numFmtId="201" fontId="11" fillId="6" borderId="49" xfId="0" applyNumberFormat="1" applyFont="1" applyFill="1" applyBorder="1" applyAlignment="1">
      <x:alignment horizontal="center"/>
    </x:xf>
    <x:xf numFmtId="201" fontId="11" fillId="6" borderId="50" xfId="0" applyNumberFormat="1" applyFont="1" applyFill="1" applyBorder="1" applyAlignment="1">
      <x:alignment horizontal="center"/>
    </x:xf>
    <x:xf numFmtId="201" fontId="11" fillId="6" borderId="51" xfId="0" applyNumberFormat="1" applyFont="1" applyFill="1" applyBorder="1" applyAlignment="1">
      <x:alignment horizontal="center"/>
    </x:xf>
    <x:xf numFmtId="201" fontId="11" fillId="6" borderId="52" xfId="0" applyNumberFormat="1" applyFont="1" applyFill="1" applyBorder="1" applyAlignment="1">
      <x:alignment horizontal="center"/>
    </x:xf>
    <x:xf numFmtId="201" fontId="11" fillId="6" borderId="53" xfId="0" applyNumberFormat="1" applyFont="1" applyFill="1" applyBorder="1" applyAlignment="1">
      <x:alignment horizontal="center"/>
    </x:xf>
    <x:xf numFmtId="201" fontId="11" fillId="6" borderId="46" xfId="0" applyNumberFormat="1" applyFont="1" applyFill="1" applyBorder="1" applyAlignment="1">
      <x:alignment horizontal="center" vertical="center"/>
    </x:xf>
    <x:xf numFmtId="201" fontId="11" fillId="6" borderId="47" xfId="0" applyNumberFormat="1" applyFont="1" applyFill="1" applyBorder="1" applyAlignment="1">
      <x:alignment horizontal="center" vertical="center"/>
    </x:xf>
    <x:xf numFmtId="201" fontId="11" fillId="6" borderId="48" xfId="0" applyNumberFormat="1" applyFont="1" applyFill="1" applyBorder="1" applyAlignment="1">
      <x:alignment horizontal="center" vertical="center"/>
    </x:xf>
    <x:xf numFmtId="201" fontId="11" fillId="6" borderId="49" xfId="0" applyNumberFormat="1" applyFont="1" applyFill="1" applyBorder="1" applyAlignment="1">
      <x:alignment horizontal="center" vertical="center"/>
    </x:xf>
    <x:xf numFmtId="201" fontId="11" fillId="6" borderId="50" xfId="0" applyNumberFormat="1" applyFont="1" applyFill="1" applyBorder="1" applyAlignment="1">
      <x:alignment horizontal="center" vertical="center"/>
    </x:xf>
    <x:xf numFmtId="201" fontId="11" fillId="6" borderId="51" xfId="0" applyNumberFormat="1" applyFont="1" applyFill="1" applyBorder="1" applyAlignment="1">
      <x:alignment horizontal="center" vertical="center"/>
    </x:xf>
    <x:xf numFmtId="201" fontId="11" fillId="6" borderId="52" xfId="0" applyNumberFormat="1" applyFont="1" applyFill="1" applyBorder="1" applyAlignment="1">
      <x:alignment horizontal="center" vertical="center"/>
    </x:xf>
    <x:xf numFmtId="201" fontId="11" fillId="6" borderId="5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4" fillId="9" borderId="0" xfId="0" applyNumberFormat="1" applyFont="1" applyFill="1" applyBorder="1" applyAlignment="1">
      <x:alignment horizontal="left" vertical="center"/>
    </x:xf>
    <x:xf numFmtId="0" fontId="11" fillId="6" borderId="54" xfId="0" applyNumberFormat="1" applyFont="1" applyFill="1" applyBorder="1"/>
    <x:xf numFmtId="0" fontId="11" fillId="6" borderId="55" xfId="0" applyNumberFormat="1" applyFont="1" applyFill="1" applyBorder="1"/>
    <x:xf numFmtId="0" fontId="11" fillId="6" borderId="56" xfId="0" applyNumberFormat="1" applyFont="1" applyFill="1" applyBorder="1"/>
    <x:xf numFmtId="0" fontId="11" fillId="6" borderId="57" xfId="0" applyNumberFormat="1" applyFont="1" applyFill="1" applyBorder="1"/>
    <x:xf numFmtId="0" fontId="11" fillId="6" borderId="58" xfId="0" applyNumberFormat="1" applyFont="1" applyFill="1" applyBorder="1"/>
    <x:xf numFmtId="0" fontId="11" fillId="6" borderId="59" xfId="0" applyNumberFormat="1" applyFont="1" applyFill="1" applyBorder="1"/>
    <x:xf numFmtId="207" fontId="11" fillId="6" borderId="54" xfId="0" applyNumberFormat="1" applyFont="1" applyFill="1" applyBorder="1"/>
    <x:xf numFmtId="207" fontId="11" fillId="6" borderId="55" xfId="0" applyNumberFormat="1" applyFont="1" applyFill="1" applyBorder="1"/>
    <x:xf numFmtId="207" fontId="11" fillId="6" borderId="56" xfId="0" applyNumberFormat="1" applyFont="1" applyFill="1" applyBorder="1"/>
    <x:xf numFmtId="207" fontId="11" fillId="6" borderId="57" xfId="0" applyNumberFormat="1" applyFont="1" applyFill="1" applyBorder="1"/>
    <x:xf numFmtId="207" fontId="11" fillId="6" borderId="58" xfId="0" applyNumberFormat="1" applyFont="1" applyFill="1" applyBorder="1"/>
    <x:xf numFmtId="207" fontId="11" fillId="6" borderId="59" xfId="0" applyNumberFormat="1" applyFont="1" applyFill="1" applyBorder="1"/>
    <x:xf numFmtId="207" fontId="11" fillId="6" borderId="54" xfId="0" applyNumberFormat="1" applyFont="1" applyFill="1" applyBorder="1" applyAlignment="1">
      <x:alignment horizontal="center"/>
    </x:xf>
    <x:xf numFmtId="207" fontId="11" fillId="6" borderId="55" xfId="0" applyNumberFormat="1" applyFont="1" applyFill="1" applyBorder="1" applyAlignment="1">
      <x:alignment horizontal="center"/>
    </x:xf>
    <x:xf numFmtId="207" fontId="11" fillId="6" borderId="56" xfId="0" applyNumberFormat="1" applyFont="1" applyFill="1" applyBorder="1" applyAlignment="1">
      <x:alignment horizontal="center"/>
    </x:xf>
    <x:xf numFmtId="207" fontId="11" fillId="6" borderId="57" xfId="0" applyNumberFormat="1" applyFont="1" applyFill="1" applyBorder="1" applyAlignment="1">
      <x:alignment horizontal="center"/>
    </x:xf>
    <x:xf numFmtId="207" fontId="11" fillId="6" borderId="58" xfId="0" applyNumberFormat="1" applyFont="1" applyFill="1" applyBorder="1" applyAlignment="1">
      <x:alignment horizontal="center"/>
    </x:xf>
    <x:xf numFmtId="207" fontId="11" fillId="6" borderId="59" xfId="0" applyNumberFormat="1" applyFont="1" applyFill="1" applyBorder="1" applyAlignment="1">
      <x:alignment horizontal="center"/>
    </x:xf>
    <x:xf numFmtId="207" fontId="11" fillId="6" borderId="54" xfId="0" applyNumberFormat="1" applyFont="1" applyFill="1" applyBorder="1" applyAlignment="1">
      <x:alignment horizontal="center" vertical="center"/>
    </x:xf>
    <x:xf numFmtId="207" fontId="11" fillId="6" borderId="55" xfId="0" applyNumberFormat="1" applyFont="1" applyFill="1" applyBorder="1" applyAlignment="1">
      <x:alignment horizontal="center" vertical="center"/>
    </x:xf>
    <x:xf numFmtId="207" fontId="11" fillId="6" borderId="56" xfId="0" applyNumberFormat="1" applyFont="1" applyFill="1" applyBorder="1" applyAlignment="1">
      <x:alignment horizontal="center" vertical="center"/>
    </x:xf>
    <x:xf numFmtId="207" fontId="11" fillId="6" borderId="57" xfId="0" applyNumberFormat="1" applyFont="1" applyFill="1" applyBorder="1" applyAlignment="1">
      <x:alignment horizontal="center" vertical="center"/>
    </x:xf>
    <x:xf numFmtId="207" fontId="11" fillId="6" borderId="58" xfId="0" applyNumberFormat="1" applyFont="1" applyFill="1" applyBorder="1" applyAlignment="1">
      <x:alignment horizontal="center" vertical="center"/>
    </x:xf>
    <x:xf numFmtId="207" fontId="11" fillId="6" borderId="59" xfId="0" applyNumberFormat="1" applyFont="1" applyFill="1" applyBorder="1" applyAlignment="1">
      <x:alignment horizontal="center" vertical="center"/>
    </x:xf>
    <x:xf numFmtId="200" fontId="11" fillId="6" borderId="30" xfId="0" applyNumberFormat="1" applyFont="1" applyFill="1" applyBorder="1"/>
    <x:xf numFmtId="200" fontId="11" fillId="6" borderId="31" xfId="0" applyNumberFormat="1" applyFont="1" applyFill="1" applyBorder="1"/>
    <x:xf numFmtId="200" fontId="11" fillId="6" borderId="32" xfId="0" applyNumberFormat="1" applyFont="1" applyFill="1" applyBorder="1"/>
    <x:xf numFmtId="200" fontId="11" fillId="6" borderId="35" xfId="0" applyNumberFormat="1" applyFont="1" applyFill="1" applyBorder="1"/>
    <x:xf numFmtId="200" fontId="11" fillId="6" borderId="36" xfId="0" applyNumberFormat="1" applyFont="1" applyFill="1" applyBorder="1"/>
    <x:xf numFmtId="200" fontId="11" fillId="6" borderId="37" xfId="0" applyNumberFormat="1" applyFont="1" applyFill="1" applyBorder="1"/>
    <x:xf numFmtId="200" fontId="11" fillId="6" borderId="30" xfId="0" applyNumberFormat="1" applyFont="1" applyFill="1" applyBorder="1" applyAlignment="1">
      <x:alignment horizontal="center"/>
    </x:xf>
    <x:xf numFmtId="200" fontId="11" fillId="6" borderId="31" xfId="0" applyNumberFormat="1" applyFont="1" applyFill="1" applyBorder="1" applyAlignment="1">
      <x:alignment horizontal="center"/>
    </x:xf>
    <x:xf numFmtId="200" fontId="11" fillId="6" borderId="32" xfId="0" applyNumberFormat="1" applyFont="1" applyFill="1" applyBorder="1" applyAlignment="1">
      <x:alignment horizontal="center"/>
    </x:xf>
    <x:xf numFmtId="200" fontId="11" fillId="6" borderId="35" xfId="0" applyNumberFormat="1" applyFont="1" applyFill="1" applyBorder="1" applyAlignment="1">
      <x:alignment horizontal="center"/>
    </x:xf>
    <x:xf numFmtId="200" fontId="11" fillId="6" borderId="36" xfId="0" applyNumberFormat="1" applyFont="1" applyFill="1" applyBorder="1" applyAlignment="1">
      <x:alignment horizontal="center"/>
    </x:xf>
    <x:xf numFmtId="200" fontId="11" fillId="6" borderId="37" xfId="0" applyNumberFormat="1" applyFont="1" applyFill="1" applyBorder="1" applyAlignment="1">
      <x:alignment horizontal="center"/>
    </x:xf>
    <x:xf numFmtId="200" fontId="11" fillId="6" borderId="30" xfId="0" applyNumberFormat="1" applyFont="1" applyFill="1" applyBorder="1" applyAlignment="1">
      <x:alignment horizontal="center" vertical="center"/>
    </x:xf>
    <x:xf numFmtId="200" fontId="11" fillId="6" borderId="31" xfId="0" applyNumberFormat="1" applyFont="1" applyFill="1" applyBorder="1" applyAlignment="1">
      <x:alignment horizontal="center" vertical="center"/>
    </x:xf>
    <x:xf numFmtId="200" fontId="11" fillId="6" borderId="32" xfId="0" applyNumberFormat="1" applyFont="1" applyFill="1" applyBorder="1" applyAlignment="1">
      <x:alignment horizontal="center" vertical="center"/>
    </x:xf>
    <x:xf numFmtId="200" fontId="11" fillId="6" borderId="35" xfId="0" applyNumberFormat="1" applyFont="1" applyFill="1" applyBorder="1" applyAlignment="1">
      <x:alignment horizontal="center" vertical="center"/>
    </x:xf>
    <x:xf numFmtId="200" fontId="11" fillId="6" borderId="36" xfId="0" applyNumberFormat="1" applyFont="1" applyFill="1" applyBorder="1" applyAlignment="1">
      <x:alignment horizontal="center" vertical="center"/>
    </x:xf>
    <x:xf numFmtId="200" fontId="11" fillId="6" borderId="37" xfId="0" applyNumberFormat="1" applyFont="1" applyFill="1" applyBorder="1" applyAlignment="1">
      <x:alignment horizontal="center" vertical="center"/>
    </x:xf>
    <x:xf numFmtId="200" fontId="11" fillId="6" borderId="22" xfId="0" applyNumberFormat="1" applyFont="1" applyFill="1" applyBorder="1"/>
    <x:xf numFmtId="200" fontId="11" fillId="6" borderId="23" xfId="0" applyNumberFormat="1" applyFont="1" applyFill="1" applyBorder="1"/>
    <x:xf numFmtId="200" fontId="11" fillId="6" borderId="24" xfId="0" applyNumberFormat="1" applyFont="1" applyFill="1" applyBorder="1"/>
    <x:xf numFmtId="200" fontId="11" fillId="6" borderId="27" xfId="0" applyNumberFormat="1" applyFont="1" applyFill="1" applyBorder="1"/>
    <x:xf numFmtId="200" fontId="11" fillId="6" borderId="28" xfId="0" applyNumberFormat="1" applyFont="1" applyFill="1" applyBorder="1"/>
    <x:xf numFmtId="200" fontId="11" fillId="6" borderId="29" xfId="0" applyNumberFormat="1" applyFont="1" applyFill="1" applyBorder="1"/>
    <x:xf numFmtId="200" fontId="11" fillId="6" borderId="22" xfId="0" applyNumberFormat="1" applyFont="1" applyFill="1" applyBorder="1" applyAlignment="1">
      <x:alignment horizontal="center"/>
    </x:xf>
    <x:xf numFmtId="200" fontId="11" fillId="6" borderId="23" xfId="0" applyNumberFormat="1" applyFont="1" applyFill="1" applyBorder="1" applyAlignment="1">
      <x:alignment horizontal="center"/>
    </x:xf>
    <x:xf numFmtId="200" fontId="11" fillId="6" borderId="24" xfId="0" applyNumberFormat="1" applyFont="1" applyFill="1" applyBorder="1" applyAlignment="1">
      <x:alignment horizontal="center"/>
    </x:xf>
    <x:xf numFmtId="200" fontId="11" fillId="6" borderId="27" xfId="0" applyNumberFormat="1" applyFont="1" applyFill="1" applyBorder="1" applyAlignment="1">
      <x:alignment horizontal="center"/>
    </x:xf>
    <x:xf numFmtId="200" fontId="11" fillId="6" borderId="28" xfId="0" applyNumberFormat="1" applyFont="1" applyFill="1" applyBorder="1" applyAlignment="1">
      <x:alignment horizontal="center"/>
    </x:xf>
    <x:xf numFmtId="200" fontId="11" fillId="6" borderId="29" xfId="0" applyNumberFormat="1" applyFont="1" applyFill="1" applyBorder="1" applyAlignment="1">
      <x:alignment horizontal="center"/>
    </x:xf>
    <x:xf numFmtId="200" fontId="11" fillId="6" borderId="22" xfId="0" applyNumberFormat="1" applyFont="1" applyFill="1" applyBorder="1" applyAlignment="1">
      <x:alignment horizontal="center" vertical="center"/>
    </x:xf>
    <x:xf numFmtId="200" fontId="11" fillId="6" borderId="23" xfId="0" applyNumberFormat="1" applyFont="1" applyFill="1" applyBorder="1" applyAlignment="1">
      <x:alignment horizontal="center" vertical="center"/>
    </x:xf>
    <x:xf numFmtId="200" fontId="11" fillId="6" borderId="24" xfId="0" applyNumberFormat="1" applyFont="1" applyFill="1" applyBorder="1" applyAlignment="1">
      <x:alignment horizontal="center" vertical="center"/>
    </x:xf>
    <x:xf numFmtId="200" fontId="11" fillId="6" borderId="27" xfId="0" applyNumberFormat="1" applyFont="1" applyFill="1" applyBorder="1" applyAlignment="1">
      <x:alignment horizontal="center" vertical="center"/>
    </x:xf>
    <x:xf numFmtId="200" fontId="11" fillId="6" borderId="28" xfId="0" applyNumberFormat="1" applyFont="1" applyFill="1" applyBorder="1" applyAlignment="1">
      <x:alignment horizontal="center" vertical="center"/>
    </x:xf>
    <x:xf numFmtId="200" fontId="11" fillId="6" borderId="29" xfId="0" applyNumberFormat="1" applyFont="1" applyFill="1" applyBorder="1" applyAlignment="1">
      <x:alignment horizontal="center" vertical="center"/>
    </x:xf>
    <x:xf numFmtId="207" fontId="11" fillId="6" borderId="38" xfId="0" applyNumberFormat="1" applyFont="1" applyFill="1" applyBorder="1"/>
    <x:xf numFmtId="207" fontId="11" fillId="6" borderId="39" xfId="0" applyNumberFormat="1" applyFont="1" applyFill="1" applyBorder="1"/>
    <x:xf numFmtId="207" fontId="11" fillId="6" borderId="40" xfId="0" applyNumberFormat="1" applyFont="1" applyFill="1" applyBorder="1"/>
    <x:xf numFmtId="207" fontId="11" fillId="6" borderId="43" xfId="0" applyNumberFormat="1" applyFont="1" applyFill="1" applyBorder="1"/>
    <x:xf numFmtId="207" fontId="11" fillId="6" borderId="44" xfId="0" applyNumberFormat="1" applyFont="1" applyFill="1" applyBorder="1"/>
    <x:xf numFmtId="207" fontId="11" fillId="6" borderId="45" xfId="0" applyNumberFormat="1" applyFont="1" applyFill="1" applyBorder="1"/>
    <x:xf numFmtId="207" fontId="11" fillId="6" borderId="38" xfId="0" applyNumberFormat="1" applyFont="1" applyFill="1" applyBorder="1" applyAlignment="1">
      <x:alignment horizontal="center"/>
    </x:xf>
    <x:xf numFmtId="207" fontId="11" fillId="6" borderId="39" xfId="0" applyNumberFormat="1" applyFont="1" applyFill="1" applyBorder="1" applyAlignment="1">
      <x:alignment horizontal="center"/>
    </x:xf>
    <x:xf numFmtId="207" fontId="11" fillId="6" borderId="40" xfId="0" applyNumberFormat="1" applyFont="1" applyFill="1" applyBorder="1" applyAlignment="1">
      <x:alignment horizontal="center"/>
    </x:xf>
    <x:xf numFmtId="207" fontId="11" fillId="6" borderId="43" xfId="0" applyNumberFormat="1" applyFont="1" applyFill="1" applyBorder="1" applyAlignment="1">
      <x:alignment horizontal="center"/>
    </x:xf>
    <x:xf numFmtId="207" fontId="11" fillId="6" borderId="44" xfId="0" applyNumberFormat="1" applyFont="1" applyFill="1" applyBorder="1" applyAlignment="1">
      <x:alignment horizontal="center"/>
    </x:xf>
    <x:xf numFmtId="207" fontId="11" fillId="6" borderId="45" xfId="0" applyNumberFormat="1" applyFont="1" applyFill="1" applyBorder="1" applyAlignment="1">
      <x:alignment horizontal="center"/>
    </x:xf>
    <x:xf numFmtId="207" fontId="11" fillId="6" borderId="38" xfId="0" applyNumberFormat="1" applyFont="1" applyFill="1" applyBorder="1" applyAlignment="1">
      <x:alignment horizontal="center" vertical="center"/>
    </x:xf>
    <x:xf numFmtId="207" fontId="11" fillId="6" borderId="39" xfId="0" applyNumberFormat="1" applyFont="1" applyFill="1" applyBorder="1" applyAlignment="1">
      <x:alignment horizontal="center" vertical="center"/>
    </x:xf>
    <x:xf numFmtId="207" fontId="11" fillId="6" borderId="40" xfId="0" applyNumberFormat="1" applyFont="1" applyFill="1" applyBorder="1" applyAlignment="1">
      <x:alignment horizontal="center" vertical="center"/>
    </x:xf>
    <x:xf numFmtId="207" fontId="11" fillId="6" borderId="43" xfId="0" applyNumberFormat="1" applyFont="1" applyFill="1" applyBorder="1" applyAlignment="1">
      <x:alignment horizontal="center" vertical="center"/>
    </x:xf>
    <x:xf numFmtId="207" fontId="11" fillId="6" borderId="44" xfId="0" applyNumberFormat="1" applyFont="1" applyFill="1" applyBorder="1" applyAlignment="1">
      <x:alignment horizontal="center" vertical="center"/>
    </x:xf>
    <x:xf numFmtId="207" fontId="11" fillId="6" borderId="4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22" xfId="0" applyNumberFormat="1" applyFont="1" applyFill="1" applyBorder="1"/>
    <x:xf numFmtId="0" fontId="12" fillId="10" borderId="24" xfId="0" applyNumberFormat="1" applyFont="1" applyFill="1" applyBorder="1"/>
    <x:xf numFmtId="0" fontId="12" fillId="10" borderId="25" xfId="0" applyNumberFormat="1" applyFont="1" applyFill="1" applyBorder="1"/>
    <x:xf numFmtId="0" fontId="12" fillId="10" borderId="26" xfId="0" applyNumberFormat="1" applyFont="1" applyFill="1" applyBorder="1"/>
    <x:xf numFmtId="0" fontId="12" fillId="10" borderId="27" xfId="0" applyNumberFormat="1" applyFont="1" applyFill="1" applyBorder="1"/>
    <x:xf numFmtId="0" fontId="12" fillId="10" borderId="29" xfId="0" applyNumberFormat="1" applyFont="1" applyFill="1" applyBorder="1"/>
    <x:xf numFmtId="0" fontId="12" fillId="10" borderId="22" xfId="0" applyNumberFormat="1" applyFont="1" applyFill="1" applyBorder="1" applyAlignment="1">
      <x:alignment wrapText="1"/>
    </x:xf>
    <x:xf numFmtId="0" fontId="12" fillId="10" borderId="24" xfId="0" applyNumberFormat="1" applyFont="1" applyFill="1" applyBorder="1" applyAlignment="1">
      <x:alignment wrapText="1"/>
    </x:xf>
    <x:xf numFmtId="0" fontId="12" fillId="10" borderId="25" xfId="0" applyNumberFormat="1" applyFont="1" applyFill="1" applyBorder="1" applyAlignment="1">
      <x:alignment wrapText="1"/>
    </x:xf>
    <x:xf numFmtId="0" fontId="12" fillId="10" borderId="26" xfId="0" applyNumberFormat="1" applyFont="1" applyFill="1" applyBorder="1" applyAlignment="1">
      <x:alignment wrapText="1"/>
    </x:xf>
    <x:xf numFmtId="0" fontId="12" fillId="10" borderId="27" xfId="0" applyNumberFormat="1" applyFont="1" applyFill="1" applyBorder="1" applyAlignment="1">
      <x:alignment wrapText="1"/>
    </x:xf>
    <x:xf numFmtId="0" fontId="12" fillId="10" borderId="29" xfId="0" applyNumberFormat="1" applyFont="1" applyFill="1" applyBorder="1" applyAlignment="1">
      <x:alignment wrapText="1"/>
    </x:xf>
    <x:xf numFmtId="0" fontId="12" fillId="10" borderId="22" xfId="0" applyNumberFormat="1" applyFont="1" applyFill="1" applyBorder="1" applyAlignment="1">
      <x:alignment horizontal="center" wrapText="1"/>
    </x:xf>
    <x:xf numFmtId="0" fontId="12" fillId="10" borderId="24" xfId="0" applyNumberFormat="1" applyFont="1" applyFill="1" applyBorder="1" applyAlignment="1">
      <x:alignment horizontal="center" wrapText="1"/>
    </x:xf>
    <x:xf numFmtId="0" fontId="12" fillId="10" borderId="25" xfId="0" applyNumberFormat="1" applyFont="1" applyFill="1" applyBorder="1" applyAlignment="1">
      <x:alignment horizontal="center" wrapText="1"/>
    </x:xf>
    <x:xf numFmtId="0" fontId="12" fillId="10" borderId="26" xfId="0" applyNumberFormat="1" applyFont="1" applyFill="1" applyBorder="1" applyAlignment="1">
      <x:alignment horizontal="center" wrapText="1"/>
    </x:xf>
    <x:xf numFmtId="0" fontId="12" fillId="10" borderId="27" xfId="0" applyNumberFormat="1" applyFont="1" applyFill="1" applyBorder="1" applyAlignment="1">
      <x:alignment horizontal="center" wrapText="1"/>
    </x:xf>
    <x:xf numFmtId="0" fontId="12" fillId="10" borderId="29" xfId="0" applyNumberFormat="1" applyFont="1" applyFill="1" applyBorder="1" applyAlignment="1">
      <x:alignment horizontal="center" wrapText="1"/>
    </x:xf>
    <x:xf numFmtId="0" fontId="12" fillId="10" borderId="22" xfId="0" applyNumberFormat="1" applyFont="1" applyFill="1" applyBorder="1" applyAlignment="1">
      <x:alignment horizontal="center" vertical="center" wrapText="1"/>
    </x:xf>
    <x:xf numFmtId="0" fontId="12" fillId="10" borderId="24" xfId="0" applyNumberFormat="1" applyFont="1" applyFill="1" applyBorder="1" applyAlignment="1">
      <x:alignment horizontal="center" vertical="center" wrapText="1"/>
    </x:xf>
    <x:xf numFmtId="0" fontId="12" fillId="10" borderId="25" xfId="0" applyNumberFormat="1" applyFont="1" applyFill="1" applyBorder="1" applyAlignment="1">
      <x:alignment horizontal="center" vertical="center" wrapText="1"/>
    </x:xf>
    <x:xf numFmtId="0" fontId="12" fillId="10" borderId="26" xfId="0" applyNumberFormat="1" applyFont="1" applyFill="1" applyBorder="1" applyAlignment="1">
      <x:alignment horizontal="center" vertical="center" wrapText="1"/>
    </x:xf>
    <x:xf numFmtId="0" fontId="12" fillId="10" borderId="27" xfId="0" applyNumberFormat="1" applyFont="1" applyFill="1" applyBorder="1" applyAlignment="1">
      <x:alignment horizontal="center" vertical="center" wrapText="1"/>
    </x:xf>
    <x:xf numFmtId="0" fontId="12" fillId="10" borderId="2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60" xfId="0" applyNumberFormat="1" applyFont="1" applyFill="1" applyBorder="1"/>
    <x:xf numFmtId="0" fontId="12" fillId="11" borderId="61" xfId="0" applyNumberFormat="1" applyFont="1" applyFill="1" applyBorder="1"/>
    <x:xf numFmtId="0" fontId="12" fillId="11" borderId="62" xfId="0" applyNumberFormat="1" applyFont="1" applyFill="1" applyBorder="1"/>
    <x:xf numFmtId="0" fontId="12" fillId="11" borderId="63" xfId="0" applyNumberFormat="1" applyFont="1" applyFill="1" applyBorder="1"/>
    <x:xf numFmtId="0" fontId="12" fillId="11" borderId="64" xfId="0" applyNumberFormat="1" applyFont="1" applyFill="1" applyBorder="1"/>
    <x:xf numFmtId="0" fontId="12" fillId="11" borderId="65" xfId="0" applyNumberFormat="1" applyFont="1" applyFill="1" applyBorder="1"/>
    <x:xf numFmtId="0" fontId="12" fillId="11" borderId="66" xfId="0" applyNumberFormat="1" applyFont="1" applyFill="1" applyBorder="1"/>
    <x:xf numFmtId="0" fontId="12" fillId="11" borderId="67" xfId="0" applyNumberFormat="1" applyFont="1" applyFill="1" applyBorder="1"/>
    <x:xf numFmtId="0" fontId="12" fillId="11" borderId="60" xfId="0" applyNumberFormat="1" applyFont="1" applyFill="1" applyBorder="1" applyAlignment="1">
      <x:alignment wrapText="1"/>
    </x:xf>
    <x:xf numFmtId="0" fontId="12" fillId="11" borderId="61" xfId="0" applyNumberFormat="1" applyFont="1" applyFill="1" applyBorder="1" applyAlignment="1">
      <x:alignment wrapText="1"/>
    </x:xf>
    <x:xf numFmtId="0" fontId="12" fillId="11" borderId="62" xfId="0" applyNumberFormat="1" applyFont="1" applyFill="1" applyBorder="1" applyAlignment="1">
      <x:alignment wrapText="1"/>
    </x:xf>
    <x:xf numFmtId="0" fontId="12" fillId="11" borderId="63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64" xfId="0" applyNumberFormat="1" applyFont="1" applyFill="1" applyBorder="1" applyAlignment="1">
      <x:alignment wrapText="1"/>
    </x:xf>
    <x:xf numFmtId="0" fontId="12" fillId="11" borderId="65" xfId="0" applyNumberFormat="1" applyFont="1" applyFill="1" applyBorder="1" applyAlignment="1">
      <x:alignment wrapText="1"/>
    </x:xf>
    <x:xf numFmtId="0" fontId="12" fillId="11" borderId="66" xfId="0" applyNumberFormat="1" applyFont="1" applyFill="1" applyBorder="1" applyAlignment="1">
      <x:alignment wrapText="1"/>
    </x:xf>
    <x:xf numFmtId="0" fontId="12" fillId="11" borderId="67" xfId="0" applyNumberFormat="1" applyFont="1" applyFill="1" applyBorder="1" applyAlignment="1">
      <x:alignment wrapText="1"/>
    </x:xf>
    <x:xf numFmtId="0" fontId="12" fillId="11" borderId="60" xfId="0" applyNumberFormat="1" applyFont="1" applyFill="1" applyBorder="1" applyAlignment="1">
      <x:alignment vertical="center" wrapText="1"/>
    </x:xf>
    <x:xf numFmtId="0" fontId="12" fillId="11" borderId="61" xfId="0" applyNumberFormat="1" applyFont="1" applyFill="1" applyBorder="1" applyAlignment="1">
      <x:alignment vertical="center" wrapText="1"/>
    </x:xf>
    <x:xf numFmtId="0" fontId="12" fillId="11" borderId="62" xfId="0" applyNumberFormat="1" applyFont="1" applyFill="1" applyBorder="1" applyAlignment="1">
      <x:alignment vertical="center" wrapText="1"/>
    </x:xf>
    <x:xf numFmtId="0" fontId="12" fillId="11" borderId="63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64" xfId="0" applyNumberFormat="1" applyFont="1" applyFill="1" applyBorder="1" applyAlignment="1">
      <x:alignment vertical="center" wrapText="1"/>
    </x:xf>
    <x:xf numFmtId="0" fontId="12" fillId="11" borderId="65" xfId="0" applyNumberFormat="1" applyFont="1" applyFill="1" applyBorder="1" applyAlignment="1">
      <x:alignment vertical="center" wrapText="1"/>
    </x:xf>
    <x:xf numFmtId="0" fontId="12" fillId="11" borderId="66" xfId="0" applyNumberFormat="1" applyFont="1" applyFill="1" applyBorder="1" applyAlignment="1">
      <x:alignment vertical="center" wrapText="1"/>
    </x:xf>
    <x:xf numFmtId="0" fontId="12" fillId="11" borderId="67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/>
    </x:xf>
    <x:xf numFmtId="0" fontId="13" fillId="10" borderId="22" xfId="0" applyNumberFormat="1" applyFont="1" applyFill="1" applyBorder="1" applyAlignment="1">
      <x:alignment horizontal="center" vertical="center" wrapText="1"/>
    </x:xf>
    <x:xf numFmtId="0" fontId="13" fillId="10" borderId="24" xfId="0" applyNumberFormat="1" applyFont="1" applyFill="1" applyBorder="1" applyAlignment="1">
      <x:alignment horizontal="center" vertical="center" wrapText="1"/>
    </x:xf>
    <x:xf numFmtId="201" fontId="14" fillId="6" borderId="22" xfId="0" applyNumberFormat="1" applyFont="1" applyFill="1" applyBorder="1" applyAlignment="1">
      <x:alignment horizontal="center" vertical="center"/>
    </x:xf>
    <x:xf numFmtId="201" fontId="14" fillId="6" borderId="23" xfId="0" applyNumberFormat="1" applyFont="1" applyFill="1" applyBorder="1" applyAlignment="1">
      <x:alignment horizontal="center" vertical="center"/>
    </x:xf>
    <x:xf numFmtId="201" fontId="14" fillId="6" borderId="24" xfId="0" applyNumberFormat="1" applyFont="1" applyFill="1" applyBorder="1" applyAlignment="1">
      <x:alignment horizontal="center" vertical="center"/>
    </x:xf>
    <x:xf numFmtId="201" fontId="14" fillId="6" borderId="30" xfId="0" applyNumberFormat="1" applyFont="1" applyFill="1" applyBorder="1" applyAlignment="1">
      <x:alignment horizontal="center" vertical="center"/>
    </x:xf>
    <x:xf numFmtId="201" fontId="14" fillId="6" borderId="31" xfId="0" applyNumberFormat="1" applyFont="1" applyFill="1" applyBorder="1" applyAlignment="1">
      <x:alignment horizontal="center" vertical="center"/>
    </x:xf>
    <x:xf numFmtId="201" fontId="14" fillId="6" borderId="32" xfId="0" applyNumberFormat="1" applyFont="1" applyFill="1" applyBorder="1" applyAlignment="1">
      <x:alignment horizontal="center" vertical="center"/>
    </x:xf>
    <x:xf numFmtId="201" fontId="14" fillId="6" borderId="38" xfId="0" applyNumberFormat="1" applyFont="1" applyFill="1" applyBorder="1" applyAlignment="1">
      <x:alignment horizontal="center" vertical="center"/>
    </x:xf>
    <x:xf numFmtId="201" fontId="14" fillId="6" borderId="39" xfId="0" applyNumberFormat="1" applyFont="1" applyFill="1" applyBorder="1" applyAlignment="1">
      <x:alignment horizontal="center" vertical="center"/>
    </x:xf>
    <x:xf numFmtId="201" fontId="14" fillId="6" borderId="40" xfId="0" applyNumberFormat="1" applyFont="1" applyFill="1" applyBorder="1" applyAlignment="1">
      <x:alignment horizontal="center" vertical="center"/>
    </x:xf>
    <x:xf numFmtId="201" fontId="14" fillId="6" borderId="46" xfId="0" applyNumberFormat="1" applyFont="1" applyFill="1" applyBorder="1" applyAlignment="1">
      <x:alignment horizontal="center" vertical="center"/>
    </x:xf>
    <x:xf numFmtId="201" fontId="14" fillId="6" borderId="47" xfId="0" applyNumberFormat="1" applyFont="1" applyFill="1" applyBorder="1" applyAlignment="1">
      <x:alignment horizontal="center" vertical="center"/>
    </x:xf>
    <x:xf numFmtId="201" fontId="14" fillId="6" borderId="48" xfId="0" applyNumberFormat="1" applyFont="1" applyFill="1" applyBorder="1" applyAlignment="1">
      <x:alignment horizontal="center" vertical="center"/>
    </x:xf>
    <x:xf numFmtId="0" fontId="13" fillId="10" borderId="25" xfId="0" applyNumberFormat="1" applyFont="1" applyFill="1" applyBorder="1" applyAlignment="1">
      <x:alignment horizontal="center" vertical="center" wrapText="1"/>
    </x:xf>
    <x:xf numFmtId="0" fontId="13" fillId="10" borderId="26" xfId="0" applyNumberFormat="1" applyFont="1" applyFill="1" applyBorder="1" applyAlignment="1">
      <x:alignment horizontal="center" vertical="center" wrapText="1"/>
    </x:xf>
    <x:xf numFmtId="201" fontId="14" fillId="6" borderId="25" xfId="0" applyNumberFormat="1" applyFont="1" applyFill="1" applyBorder="1" applyAlignment="1">
      <x:alignment horizontal="center" vertical="center"/>
    </x:xf>
    <x:xf numFmtId="201" fontId="14" fillId="6" borderId="0" xfId="0" applyNumberFormat="1" applyFont="1" applyFill="1" applyBorder="1" applyAlignment="1">
      <x:alignment horizontal="center" vertical="center"/>
    </x:xf>
    <x:xf numFmtId="201" fontId="14" fillId="6" borderId="26" xfId="0" applyNumberFormat="1" applyFont="1" applyFill="1" applyBorder="1" applyAlignment="1">
      <x:alignment horizontal="center" vertical="center"/>
    </x:xf>
    <x:xf numFmtId="201" fontId="14" fillId="6" borderId="33" xfId="0" applyNumberFormat="1" applyFont="1" applyFill="1" applyBorder="1" applyAlignment="1">
      <x:alignment horizontal="center" vertical="center"/>
    </x:xf>
    <x:xf numFmtId="201" fontId="14" fillId="6" borderId="34" xfId="0" applyNumberFormat="1" applyFont="1" applyFill="1" applyBorder="1" applyAlignment="1">
      <x:alignment horizontal="center" vertical="center"/>
    </x:xf>
    <x:xf numFmtId="201" fontId="14" fillId="6" borderId="41" xfId="0" applyNumberFormat="1" applyFont="1" applyFill="1" applyBorder="1" applyAlignment="1">
      <x:alignment horizontal="center" vertical="center"/>
    </x:xf>
    <x:xf numFmtId="201" fontId="14" fillId="6" borderId="42" xfId="0" applyNumberFormat="1" applyFont="1" applyFill="1" applyBorder="1" applyAlignment="1">
      <x:alignment horizontal="center" vertical="center"/>
    </x:xf>
    <x:xf numFmtId="201" fontId="14" fillId="6" borderId="49" xfId="0" applyNumberFormat="1" applyFont="1" applyFill="1" applyBorder="1" applyAlignment="1">
      <x:alignment horizontal="center" vertical="center"/>
    </x:xf>
    <x:xf numFmtId="201" fontId="14" fillId="6" borderId="50" xfId="0" applyNumberFormat="1" applyFont="1" applyFill="1" applyBorder="1" applyAlignment="1">
      <x:alignment horizontal="center" vertical="center"/>
    </x:xf>
    <x:xf numFmtId="201" fontId="14" fillId="6" borderId="27" xfId="0" applyNumberFormat="1" applyFont="1" applyFill="1" applyBorder="1" applyAlignment="1">
      <x:alignment horizontal="center" vertical="center"/>
    </x:xf>
    <x:xf numFmtId="201" fontId="14" fillId="6" borderId="28" xfId="0" applyNumberFormat="1" applyFont="1" applyFill="1" applyBorder="1" applyAlignment="1">
      <x:alignment horizontal="center" vertical="center"/>
    </x:xf>
    <x:xf numFmtId="201" fontId="14" fillId="6" borderId="29" xfId="0" applyNumberFormat="1" applyFont="1" applyFill="1" applyBorder="1" applyAlignment="1">
      <x:alignment horizontal="center" vertical="center"/>
    </x:xf>
    <x:xf numFmtId="201" fontId="14" fillId="6" borderId="35" xfId="0" applyNumberFormat="1" applyFont="1" applyFill="1" applyBorder="1" applyAlignment="1">
      <x:alignment horizontal="center" vertical="center"/>
    </x:xf>
    <x:xf numFmtId="201" fontId="14" fillId="6" borderId="36" xfId="0" applyNumberFormat="1" applyFont="1" applyFill="1" applyBorder="1" applyAlignment="1">
      <x:alignment horizontal="center" vertical="center"/>
    </x:xf>
    <x:xf numFmtId="201" fontId="14" fillId="6" borderId="37" xfId="0" applyNumberFormat="1" applyFont="1" applyFill="1" applyBorder="1" applyAlignment="1">
      <x:alignment horizontal="center" vertical="center"/>
    </x:xf>
    <x:xf numFmtId="201" fontId="14" fillId="6" borderId="43" xfId="0" applyNumberFormat="1" applyFont="1" applyFill="1" applyBorder="1" applyAlignment="1">
      <x:alignment horizontal="center" vertical="center"/>
    </x:xf>
    <x:xf numFmtId="201" fontId="14" fillId="6" borderId="44" xfId="0" applyNumberFormat="1" applyFont="1" applyFill="1" applyBorder="1" applyAlignment="1">
      <x:alignment horizontal="center" vertical="center"/>
    </x:xf>
    <x:xf numFmtId="201" fontId="14" fillId="6" borderId="45" xfId="0" applyNumberFormat="1" applyFont="1" applyFill="1" applyBorder="1" applyAlignment="1">
      <x:alignment horizontal="center" vertical="center"/>
    </x:xf>
    <x:xf numFmtId="201" fontId="14" fillId="6" borderId="51" xfId="0" applyNumberFormat="1" applyFont="1" applyFill="1" applyBorder="1" applyAlignment="1">
      <x:alignment horizontal="center" vertical="center"/>
    </x:xf>
    <x:xf numFmtId="201" fontId="14" fillId="6" borderId="52" xfId="0" applyNumberFormat="1" applyFont="1" applyFill="1" applyBorder="1" applyAlignment="1">
      <x:alignment horizontal="center" vertical="center"/>
    </x:xf>
    <x:xf numFmtId="201" fontId="14" fillId="6" borderId="53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left" vertical="center"/>
    </x:xf>
    <x:xf numFmtId="207" fontId="14" fillId="6" borderId="54" xfId="0" applyNumberFormat="1" applyFont="1" applyFill="1" applyBorder="1" applyAlignment="1">
      <x:alignment horizontal="center" vertical="center"/>
    </x:xf>
    <x:xf numFmtId="207" fontId="14" fillId="6" borderId="55" xfId="0" applyNumberFormat="1" applyFont="1" applyFill="1" applyBorder="1" applyAlignment="1">
      <x:alignment horizontal="center" vertical="center"/>
    </x:xf>
    <x:xf numFmtId="207" fontId="14" fillId="6" borderId="56" xfId="0" applyNumberFormat="1" applyFont="1" applyFill="1" applyBorder="1" applyAlignment="1">
      <x:alignment horizontal="center" vertical="center"/>
    </x:xf>
    <x:xf numFmtId="200" fontId="14" fillId="6" borderId="30" xfId="0" applyNumberFormat="1" applyFont="1" applyFill="1" applyBorder="1" applyAlignment="1">
      <x:alignment horizontal="center" vertical="center"/>
    </x:xf>
    <x:xf numFmtId="200" fontId="14" fillId="6" borderId="31" xfId="0" applyNumberFormat="1" applyFont="1" applyFill="1" applyBorder="1" applyAlignment="1">
      <x:alignment horizontal="center" vertical="center"/>
    </x:xf>
    <x:xf numFmtId="200" fontId="14" fillId="6" borderId="32" xfId="0" applyNumberFormat="1" applyFont="1" applyFill="1" applyBorder="1" applyAlignment="1">
      <x:alignment horizontal="center" vertical="center"/>
    </x:xf>
    <x:xf numFmtId="200" fontId="14" fillId="6" borderId="22" xfId="0" applyNumberFormat="1" applyFont="1" applyFill="1" applyBorder="1" applyAlignment="1">
      <x:alignment horizontal="center" vertical="center"/>
    </x:xf>
    <x:xf numFmtId="200" fontId="14" fillId="6" borderId="23" xfId="0" applyNumberFormat="1" applyFont="1" applyFill="1" applyBorder="1" applyAlignment="1">
      <x:alignment horizontal="center" vertical="center"/>
    </x:xf>
    <x:xf numFmtId="200" fontId="14" fillId="6" borderId="24" xfId="0" applyNumberFormat="1" applyFont="1" applyFill="1" applyBorder="1" applyAlignment="1">
      <x:alignment horizontal="center" vertical="center"/>
    </x:xf>
    <x:xf numFmtId="207" fontId="14" fillId="6" borderId="38" xfId="0" applyNumberFormat="1" applyFont="1" applyFill="1" applyBorder="1" applyAlignment="1">
      <x:alignment horizontal="center" vertical="center"/>
    </x:xf>
    <x:xf numFmtId="207" fontId="14" fillId="6" borderId="39" xfId="0" applyNumberFormat="1" applyFont="1" applyFill="1" applyBorder="1" applyAlignment="1">
      <x:alignment horizontal="center" vertical="center"/>
    </x:xf>
    <x:xf numFmtId="207" fontId="14" fillId="6" borderId="40" xfId="0" applyNumberFormat="1" applyFont="1" applyFill="1" applyBorder="1" applyAlignment="1">
      <x:alignment horizontal="center" vertical="center"/>
    </x:xf>
    <x:xf numFmtId="207" fontId="14" fillId="6" borderId="57" xfId="0" applyNumberFormat="1" applyFont="1" applyFill="1" applyBorder="1" applyAlignment="1">
      <x:alignment horizontal="center" vertical="center"/>
    </x:xf>
    <x:xf numFmtId="207" fontId="14" fillId="6" borderId="58" xfId="0" applyNumberFormat="1" applyFont="1" applyFill="1" applyBorder="1" applyAlignment="1">
      <x:alignment horizontal="center" vertical="center"/>
    </x:xf>
    <x:xf numFmtId="207" fontId="14" fillId="6" borderId="59" xfId="0" applyNumberFormat="1" applyFont="1" applyFill="1" applyBorder="1" applyAlignment="1">
      <x:alignment horizontal="center" vertical="center"/>
    </x:xf>
    <x:xf numFmtId="200" fontId="14" fillId="6" borderId="35" xfId="0" applyNumberFormat="1" applyFont="1" applyFill="1" applyBorder="1" applyAlignment="1">
      <x:alignment horizontal="center" vertical="center"/>
    </x:xf>
    <x:xf numFmtId="200" fontId="14" fillId="6" borderId="36" xfId="0" applyNumberFormat="1" applyFont="1" applyFill="1" applyBorder="1" applyAlignment="1">
      <x:alignment horizontal="center" vertical="center"/>
    </x:xf>
    <x:xf numFmtId="200" fontId="14" fillId="6" borderId="37" xfId="0" applyNumberFormat="1" applyFont="1" applyFill="1" applyBorder="1" applyAlignment="1">
      <x:alignment horizontal="center" vertical="center"/>
    </x:xf>
    <x:xf numFmtId="200" fontId="14" fillId="6" borderId="27" xfId="0" applyNumberFormat="1" applyFont="1" applyFill="1" applyBorder="1" applyAlignment="1">
      <x:alignment horizontal="center" vertical="center"/>
    </x:xf>
    <x:xf numFmtId="200" fontId="14" fillId="6" borderId="28" xfId="0" applyNumberFormat="1" applyFont="1" applyFill="1" applyBorder="1" applyAlignment="1">
      <x:alignment horizontal="center" vertical="center"/>
    </x:xf>
    <x:xf numFmtId="200" fontId="14" fillId="6" borderId="29" xfId="0" applyNumberFormat="1" applyFont="1" applyFill="1" applyBorder="1" applyAlignment="1">
      <x:alignment horizontal="center" vertical="center"/>
    </x:xf>
    <x:xf numFmtId="207" fontId="14" fillId="6" borderId="43" xfId="0" applyNumberFormat="1" applyFont="1" applyFill="1" applyBorder="1" applyAlignment="1">
      <x:alignment horizontal="center" vertical="center"/>
    </x:xf>
    <x:xf numFmtId="207" fontId="14" fillId="6" borderId="44" xfId="0" applyNumberFormat="1" applyFont="1" applyFill="1" applyBorder="1" applyAlignment="1">
      <x:alignment horizontal="center" vertical="center"/>
    </x:xf>
    <x:xf numFmtId="207" fontId="14" fillId="6" borderId="45" xfId="0" applyNumberFormat="1" applyFont="1" applyFill="1" applyBorder="1" applyAlignment="1">
      <x:alignment horizontal="center" vertical="center"/>
    </x:xf>
    <x:xf numFmtId="0" fontId="13" fillId="10" borderId="27" xfId="0" applyNumberFormat="1" applyFont="1" applyFill="1" applyBorder="1" applyAlignment="1">
      <x:alignment horizontal="center" vertical="center" wrapText="1"/>
    </x:xf>
    <x:xf numFmtId="0" fontId="13" fillId="10" borderId="29" xfId="0" applyNumberFormat="1" applyFont="1" applyFill="1" applyBorder="1" applyAlignment="1">
      <x:alignment horizontal="center" vertical="center" wrapText="1"/>
    </x:xf>
    <x:xf numFmtId="0" fontId="13" fillId="11" borderId="60" xfId="0" applyNumberFormat="1" applyFont="1" applyFill="1" applyBorder="1" applyAlignment="1">
      <x:alignment vertical="center" wrapText="1"/>
    </x:xf>
    <x:xf numFmtId="0" fontId="13" fillId="11" borderId="61" xfId="0" applyNumberFormat="1" applyFont="1" applyFill="1" applyBorder="1" applyAlignment="1">
      <x:alignment vertical="center" wrapText="1"/>
    </x:xf>
    <x:xf numFmtId="0" fontId="13" fillId="11" borderId="62" xfId="0" applyNumberFormat="1" applyFont="1" applyFill="1" applyBorder="1" applyAlignment="1">
      <x:alignment vertical="center" wrapText="1"/>
    </x:xf>
    <x:xf numFmtId="0" fontId="13" fillId="11" borderId="63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64" xfId="0" applyNumberFormat="1" applyFont="1" applyFill="1" applyBorder="1" applyAlignment="1">
      <x:alignment vertical="center" wrapText="1"/>
    </x:xf>
    <x:xf numFmtId="0" fontId="13" fillId="11" borderId="65" xfId="0" applyNumberFormat="1" applyFont="1" applyFill="1" applyBorder="1" applyAlignment="1">
      <x:alignment vertical="center" wrapText="1"/>
    </x:xf>
    <x:xf numFmtId="0" fontId="13" fillId="11" borderId="66" xfId="0" applyNumberFormat="1" applyFont="1" applyFill="1" applyBorder="1" applyAlignment="1">
      <x:alignment vertical="center" wrapText="1"/>
    </x:xf>
    <x:xf numFmtId="0" fontId="13" fillId="11" borderId="67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20" xfId="0" applyNumberFormat="1" applyFont="1" applyFill="1" applyBorder="1"/>
    <x:xf numFmtId="207" fontId="0" fillId="0" borderId="14" xfId="0" applyNumberFormat="1" applyFont="1" applyFill="1" applyBorder="1"/>
    <x:xf numFmtId="207" fontId="0" fillId="0" borderId="17" xfId="0" applyNumberFormat="1" applyFont="1" applyFill="1" applyBorder="1"/>
    <x:xf numFmtId="207" fontId="0" fillId="0" borderId="20" xfId="0" applyNumberFormat="1" applyFont="1" applyFill="1" applyBorder="1"/>
    <x:xf numFmtId="208" fontId="0" fillId="0" borderId="14" xfId="0" applyNumberFormat="1" applyFont="1" applyFill="1" applyBorder="1"/>
    <x:xf numFmtId="208" fontId="0" fillId="0" borderId="17" xfId="0" applyNumberFormat="1" applyFont="1" applyFill="1" applyBorder="1"/>
    <x:xf numFmtId="208" fontId="0" fillId="0" borderId="20" xfId="0" applyNumberFormat="1" applyFont="1" applyFill="1" applyBorder="1"/>
    <x:xf numFmtId="201" fontId="0" fillId="4" borderId="14" xfId="0" applyNumberFormat="1" applyFont="1" applyFill="1" applyBorder="1"/>
    <x:xf numFmtId="201" fontId="0" fillId="4" borderId="17" xfId="0" applyNumberFormat="1" applyFont="1" applyFill="1" applyBorder="1"/>
    <x:xf numFmtId="201" fontId="0" fillId="4" borderId="20" xfId="0" applyNumberFormat="1" applyFont="1" applyFill="1" applyBorder="1"/>
    <x:xf numFmtId="0" fontId="4" fillId="2" borderId="0" xfId="0" applyNumberFormat="1" applyFont="1" applyFill="1" applyBorder="1"/>
    <x:xf numFmtId="207" fontId="0" fillId="0" borderId="0" xfId="0" applyNumberFormat="1" applyFont="1" applyFill="1" applyBorder="1"/>
    <x:xf numFmtId="0" fontId="4" fillId="2" borderId="13" xfId="0" applyNumberFormat="1" applyFont="1" applyFill="1" applyBorder="1"/>
    <x:xf numFmtId="0" fontId="4" fillId="2" borderId="15" xfId="0" applyNumberFormat="1" applyFont="1" applyFill="1" applyBorder="1"/>
    <x:xf numFmtId="207" fontId="0" fillId="0" borderId="18" xfId="0" applyNumberFormat="1" applyFont="1" applyFill="1" applyBorder="1"/>
    <x:xf numFmtId="207" fontId="0" fillId="0" borderId="21" xfId="0" applyNumberFormat="1" applyFont="1" applyFill="1" applyBorder="1"/>
    <x:xf numFmtId="0" fontId="16" fillId="10" borderId="0" xfId="0" applyNumberFormat="1" applyFont="1" applyFill="1" applyBorder="1"/>
    <x:xf numFmtId="0" fontId="16" fillId="10" borderId="22" xfId="0" applyNumberFormat="1" applyFont="1" applyFill="1" applyBorder="1"/>
    <x:xf numFmtId="0" fontId="16" fillId="10" borderId="23" xfId="0" applyNumberFormat="1" applyFont="1" applyFill="1" applyBorder="1"/>
    <x:xf numFmtId="0" fontId="16" fillId="10" borderId="24" xfId="0" applyNumberFormat="1" applyFont="1" applyFill="1" applyBorder="1"/>
    <x:xf numFmtId="0" fontId="16" fillId="10" borderId="25" xfId="0" applyNumberFormat="1" applyFont="1" applyFill="1" applyBorder="1"/>
    <x:xf numFmtId="0" fontId="16" fillId="10" borderId="26" xfId="0" applyNumberFormat="1" applyFont="1" applyFill="1" applyBorder="1"/>
    <x:xf numFmtId="0" fontId="16" fillId="10" borderId="27" xfId="0" applyNumberFormat="1" applyFont="1" applyFill="1" applyBorder="1"/>
    <x:xf numFmtId="0" fontId="16" fillId="10" borderId="28" xfId="0" applyNumberFormat="1" applyFont="1" applyFill="1" applyBorder="1"/>
    <x:xf numFmtId="0" fontId="16" fillId="10" borderId="29" xfId="0" applyNumberFormat="1" applyFont="1" applyFill="1" applyBorder="1"/>
    <x:xf numFmtId="0" fontId="16" fillId="10" borderId="22" xfId="0" applyNumberFormat="1" applyFont="1" applyFill="1" applyBorder="1" applyAlignment="1">
      <x:alignment wrapText="1"/>
    </x:xf>
    <x:xf numFmtId="0" fontId="16" fillId="10" borderId="23" xfId="0" applyNumberFormat="1" applyFont="1" applyFill="1" applyBorder="1" applyAlignment="1">
      <x:alignment wrapText="1"/>
    </x:xf>
    <x:xf numFmtId="0" fontId="16" fillId="10" borderId="24" xfId="0" applyNumberFormat="1" applyFont="1" applyFill="1" applyBorder="1" applyAlignment="1">
      <x:alignment wrapText="1"/>
    </x:xf>
    <x:xf numFmtId="0" fontId="16" fillId="10" borderId="25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wrapText="1"/>
    </x:xf>
    <x:xf numFmtId="0" fontId="16" fillId="10" borderId="26" xfId="0" applyNumberFormat="1" applyFont="1" applyFill="1" applyBorder="1" applyAlignment="1">
      <x:alignment wrapText="1"/>
    </x:xf>
    <x:xf numFmtId="0" fontId="16" fillId="10" borderId="27" xfId="0" applyNumberFormat="1" applyFont="1" applyFill="1" applyBorder="1" applyAlignment="1">
      <x:alignment wrapText="1"/>
    </x:xf>
    <x:xf numFmtId="0" fontId="16" fillId="10" borderId="28" xfId="0" applyNumberFormat="1" applyFont="1" applyFill="1" applyBorder="1" applyAlignment="1">
      <x:alignment wrapText="1"/>
    </x:xf>
    <x:xf numFmtId="0" fontId="16" fillId="10" borderId="29" xfId="0" applyNumberFormat="1" applyFont="1" applyFill="1" applyBorder="1" applyAlignment="1">
      <x:alignment wrapText="1"/>
    </x:xf>
    <x:xf numFmtId="0" fontId="16" fillId="10" borderId="22" xfId="0" applyNumberFormat="1" applyFont="1" applyFill="1" applyBorder="1" applyAlignment="1">
      <x:alignment horizontal="center" wrapText="1"/>
    </x:xf>
    <x:xf numFmtId="0" fontId="16" fillId="10" borderId="23" xfId="0" applyNumberFormat="1" applyFont="1" applyFill="1" applyBorder="1" applyAlignment="1">
      <x:alignment horizontal="center" wrapText="1"/>
    </x:xf>
    <x:xf numFmtId="0" fontId="16" fillId="10" borderId="24" xfId="0" applyNumberFormat="1" applyFont="1" applyFill="1" applyBorder="1" applyAlignment="1">
      <x:alignment horizontal="center" wrapText="1"/>
    </x:xf>
    <x:xf numFmtId="0" fontId="16" fillId="10" borderId="25" xfId="0" applyNumberFormat="1" applyFont="1" applyFill="1" applyBorder="1" applyAlignment="1">
      <x:alignment horizontal="center" wrapText="1"/>
    </x:xf>
    <x:xf numFmtId="0" fontId="16" fillId="10" borderId="0" xfId="0" applyNumberFormat="1" applyFont="1" applyFill="1" applyBorder="1" applyAlignment="1">
      <x:alignment horizontal="center" wrapText="1"/>
    </x:xf>
    <x:xf numFmtId="0" fontId="16" fillId="10" borderId="26" xfId="0" applyNumberFormat="1" applyFont="1" applyFill="1" applyBorder="1" applyAlignment="1">
      <x:alignment horizontal="center" wrapText="1"/>
    </x:xf>
    <x:xf numFmtId="0" fontId="16" fillId="10" borderId="27" xfId="0" applyNumberFormat="1" applyFont="1" applyFill="1" applyBorder="1" applyAlignment="1">
      <x:alignment horizontal="center" wrapText="1"/>
    </x:xf>
    <x:xf numFmtId="0" fontId="16" fillId="10" borderId="28" xfId="0" applyNumberFormat="1" applyFont="1" applyFill="1" applyBorder="1" applyAlignment="1">
      <x:alignment horizontal="center" wrapText="1"/>
    </x:xf>
    <x:xf numFmtId="0" fontId="16" fillId="10" borderId="29" xfId="0" applyNumberFormat="1" applyFont="1" applyFill="1" applyBorder="1" applyAlignment="1">
      <x:alignment horizontal="center" wrapText="1"/>
    </x:xf>
    <x:xf numFmtId="0" fontId="16" fillId="10" borderId="22" xfId="0" applyNumberFormat="1" applyFont="1" applyFill="1" applyBorder="1" applyAlignment="1">
      <x:alignment horizontal="center" vertical="center" wrapText="1"/>
    </x:xf>
    <x:xf numFmtId="0" fontId="16" fillId="10" borderId="23" xfId="0" applyNumberFormat="1" applyFont="1" applyFill="1" applyBorder="1" applyAlignment="1">
      <x:alignment horizontal="center" vertical="center" wrapText="1"/>
    </x:xf>
    <x:xf numFmtId="0" fontId="16" fillId="10" borderId="24" xfId="0" applyNumberFormat="1" applyFont="1" applyFill="1" applyBorder="1" applyAlignment="1">
      <x:alignment horizontal="center" vertical="center" wrapText="1"/>
    </x:xf>
    <x:xf numFmtId="0" fontId="16" fillId="10" borderId="25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horizontal="center" vertical="center" wrapText="1"/>
    </x:xf>
    <x:xf numFmtId="0" fontId="16" fillId="10" borderId="26" xfId="0" applyNumberFormat="1" applyFont="1" applyFill="1" applyBorder="1" applyAlignment="1">
      <x:alignment horizontal="center" vertical="center" wrapText="1"/>
    </x:xf>
    <x:xf numFmtId="0" fontId="16" fillId="10" borderId="27" xfId="0" applyNumberFormat="1" applyFont="1" applyFill="1" applyBorder="1" applyAlignment="1">
      <x:alignment horizontal="center" vertical="center" wrapText="1"/>
    </x:xf>
    <x:xf numFmtId="0" fontId="16" fillId="10" borderId="28" xfId="0" applyNumberFormat="1" applyFont="1" applyFill="1" applyBorder="1" applyAlignment="1">
      <x:alignment horizontal="center" vertical="center" wrapText="1"/>
    </x:xf>
    <x:xf numFmtId="0" fontId="16" fillId="10" borderId="29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/>
    <x:xf numFmtId="206" fontId="0" fillId="0" borderId="17" xfId="0" applyNumberFormat="1" applyFont="1" applyFill="1" applyBorder="1"/>
    <x:xf numFmtId="202" fontId="0" fillId="0" borderId="20" xfId="0" applyNumberFormat="1" applyFont="1" applyFill="1" applyBorder="1"/>
    <x:xf numFmtId="0" fontId="4" fillId="2" borderId="13" xfId="0" applyNumberFormat="1" applyFont="1" applyFill="1" applyBorder="1" applyAlignment="1">
      <x:alignment wrapText="1"/>
    </x:xf>
    <x:xf numFmtId="0" fontId="4" fillId="2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6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2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15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201" fontId="7" fillId="0" borderId="14" xfId="0" applyNumberFormat="1" applyFont="1" applyFill="1" applyBorder="1"/>
    <x:xf numFmtId="207" fontId="7" fillId="0" borderId="14" xfId="0" applyNumberFormat="1" applyFont="1" applyFill="1" applyBorder="1"/>
    <x:xf numFmtId="201" fontId="7" fillId="4" borderId="14" xfId="0" applyNumberFormat="1" applyFont="1" applyFill="1" applyBorder="1"/>
    <x:xf numFmtId="208" fontId="7" fillId="0" borderId="14" xfId="0" applyNumberFormat="1" applyFont="1" applyFill="1" applyBorder="1"/>
    <x:xf numFmtId="0" fontId="7" fillId="0" borderId="15" xfId="0" applyNumberFormat="1" applyFont="1" applyFill="1" applyBorder="1"/>
    <x:xf numFmtId="201" fontId="7" fillId="0" borderId="17" xfId="0" applyNumberFormat="1" applyFont="1" applyFill="1" applyBorder="1"/>
    <x:xf numFmtId="207" fontId="7" fillId="0" borderId="17" xfId="0" applyNumberFormat="1" applyFont="1" applyFill="1" applyBorder="1"/>
    <x:xf numFmtId="201" fontId="7" fillId="4" borderId="17" xfId="0" applyNumberFormat="1" applyFont="1" applyFill="1" applyBorder="1"/>
    <x:xf numFmtId="208" fontId="7" fillId="0" borderId="17" xfId="0" applyNumberFormat="1" applyFont="1" applyFill="1" applyBorder="1"/>
    <x:xf numFmtId="201" fontId="7" fillId="0" borderId="20" xfId="0" applyNumberFormat="1" applyFont="1" applyFill="1" applyBorder="1"/>
    <x:xf numFmtId="207" fontId="7" fillId="0" borderId="20" xfId="0" applyNumberFormat="1" applyFont="1" applyFill="1" applyBorder="1"/>
    <x:xf numFmtId="201" fontId="7" fillId="4" borderId="20" xfId="0" applyNumberFormat="1" applyFont="1" applyFill="1" applyBorder="1"/>
    <x:xf numFmtId="208" fontId="7" fillId="0" borderId="20" xfId="0" applyNumberFormat="1" applyFont="1" applyFill="1" applyBorder="1"/>
    <x:xf numFmtId="0" fontId="17" fillId="10" borderId="22" xfId="0" applyNumberFormat="1" applyFont="1" applyFill="1" applyBorder="1" applyAlignment="1">
      <x:alignment horizontal="center" vertical="center" wrapText="1"/>
    </x:xf>
    <x:xf numFmtId="0" fontId="17" fillId="10" borderId="23" xfId="0" applyNumberFormat="1" applyFont="1" applyFill="1" applyBorder="1" applyAlignment="1">
      <x:alignment horizontal="center" vertical="center" wrapText="1"/>
    </x:xf>
    <x:xf numFmtId="0" fontId="17" fillId="10" borderId="24" xfId="0" applyNumberFormat="1" applyFont="1" applyFill="1" applyBorder="1" applyAlignment="1">
      <x:alignment horizontal="center" vertical="center" wrapText="1"/>
    </x:xf>
    <x:xf numFmtId="0" fontId="17" fillId="10" borderId="25" xfId="0" applyNumberFormat="1" applyFont="1" applyFill="1" applyBorder="1" applyAlignment="1">
      <x:alignment horizontal="center" vertical="center" wrapText="1"/>
    </x:xf>
    <x:xf numFmtId="0" fontId="17" fillId="10" borderId="0" xfId="0" applyNumberFormat="1" applyFont="1" applyFill="1" applyBorder="1" applyAlignment="1">
      <x:alignment horizontal="center" vertical="center" wrapText="1"/>
    </x:xf>
    <x:xf numFmtId="0" fontId="17" fillId="10" borderId="26" xfId="0" applyNumberFormat="1" applyFont="1" applyFill="1" applyBorder="1" applyAlignment="1">
      <x:alignment horizontal="center" vertical="center" wrapText="1"/>
    </x:xf>
    <x:xf numFmtId="0" fontId="17" fillId="10" borderId="27" xfId="0" applyNumberFormat="1" applyFont="1" applyFill="1" applyBorder="1" applyAlignment="1">
      <x:alignment horizontal="center" vertical="center" wrapText="1"/>
    </x:xf>
    <x:xf numFmtId="0" fontId="17" fillId="10" borderId="28" xfId="0" applyNumberFormat="1" applyFont="1" applyFill="1" applyBorder="1" applyAlignment="1">
      <x:alignment horizontal="center" vertical="center" wrapText="1"/>
    </x:xf>
    <x:xf numFmtId="0" fontId="17" fillId="10" borderId="29" xfId="0" applyNumberFormat="1" applyFont="1" applyFill="1" applyBorder="1" applyAlignment="1">
      <x:alignment horizontal="center" vertical="center"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201" fontId="7" fillId="0" borderId="17" xfId="0" applyNumberFormat="1" applyFont="1" applyFill="1" applyBorder="1" applyAlignment="1">
      <x:alignment wrapText="1"/>
    </x:xf>
    <x:xf numFmtId="206" fontId="7" fillId="0" borderId="17" xfId="0" applyNumberFormat="1" applyFont="1" applyFill="1" applyBorder="1" applyAlignment="1">
      <x:alignment wrapText="1"/>
    </x:xf>
    <x:xf numFmtId="202" fontId="7" fillId="0" borderId="20" xfId="0" applyNumberFormat="1" applyFont="1" applyFill="1" applyBorder="1" applyAlignment="1">
      <x:alignment wrapText="1"/>
    </x:xf>
    <x:xf numFmtId="203" fontId="7" fillId="0" borderId="0" xfId="0" applyNumberFormat="1" applyFont="1" applyFill="1" applyBorder="1"/>
    <x:xf numFmtId="202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0" fontId="8" fillId="2" borderId="13" xfId="0" applyNumberFormat="1" applyFont="1" applyFill="1" applyBorder="1"/>
    <x:xf numFmtId="0" fontId="8" fillId="2" borderId="15" xfId="0" applyNumberFormat="1" applyFont="1" applyFill="1" applyBorder="1"/>
    <x:xf numFmtId="207" fontId="7" fillId="0" borderId="18" xfId="0" applyNumberFormat="1" applyFont="1" applyFill="1" applyBorder="1"/>
    <x:xf numFmtId="207" fontId="7" fillId="0" borderId="21" xfId="0" applyNumberFormat="1" applyFont="1" applyFill="1" applyBorder="1"/>
    <x:xf numFmtId="0" fontId="8" fillId="2" borderId="1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E63946"/>
      </x:font>
      <x:fill>
        <x:patternFill patternType="solid">
          <x:bgColor rgb="FFFCE8E6"/>
        </x:patternFill>
      </x:fill>
    </x:dxf>
    <x:dxf>
      <x:font>
        <x:b/>
        <x:color rgb="FFFFFFFF"/>
      </x:font>
      <x:fill>
        <x:patternFill patternType="solid">
          <x:bgColor rgb="FFE6394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45c8dd6994d47" /><Relationship Type="http://schemas.openxmlformats.org/officeDocument/2006/relationships/theme" Target="/xl/theme/theme1.xml" Id="R26c791c8b8be4399" /><Relationship Type="http://schemas.microsoft.com/office/2022/11/relationships/FeaturePropertyBag" Target="/xl/featurePropertyBag/featurePropertyBag.xml" Id="R73aa90406513494b" /><Relationship Type="http://schemas.openxmlformats.org/officeDocument/2006/relationships/sharedStrings" Target="/xl/sharedStrings.xml" Id="Ra046a1e621954e49" /><Relationship Type="http://schemas.openxmlformats.org/officeDocument/2006/relationships/worksheet" Target="/xl/worksheets/sheet1.xml" Id="Rbe34e4cd03004b59" /><Relationship Type="http://schemas.openxmlformats.org/officeDocument/2006/relationships/worksheet" Target="/xl/worksheets/sheet2.xml" Id="Rd9d7cd2d59424f6e" /><Relationship Type="http://schemas.openxmlformats.org/officeDocument/2006/relationships/worksheet" Target="/xl/worksheets/sheet3.xml" Id="R058e09f98df744a4" /><Relationship Type="http://schemas.openxmlformats.org/officeDocument/2006/relationships/worksheet" Target="/xl/worksheets/sheet4.xml" Id="R553035b62fb44718" /><Relationship Type="http://schemas.openxmlformats.org/officeDocument/2006/relationships/worksheet" Target="/xl/worksheets/sheet5.xml" Id="Rb5b660b0445f4eef" /><Relationship Type="http://schemas.openxmlformats.org/officeDocument/2006/relationships/worksheet" Target="/xl/worksheets/sheet6.xml" Id="R1a77ffbf05a14e63" /><Relationship Type="http://schemas.openxmlformats.org/officeDocument/2006/relationships/worksheet" Target="/xl/worksheets/sheet7.xml" Id="Rbdc7830a36fd43f8" /><Relationship Type="http://schemas.openxmlformats.org/officeDocument/2006/relationships/worksheet" Target="/xl/worksheets/sheet8.xml" Id="Rb30bc9b74dc14d2c" /><Relationship Type="http://schemas.openxmlformats.org/officeDocument/2006/relationships/worksheet" Target="/xl/worksheets/sheet9.xml" Id="R6665af4c8f044eba" /><Relationship Type="http://schemas.openxmlformats.org/officeDocument/2006/relationships/worksheet" Target="/xl/worksheets/sheet10.xml" Id="R0be3d4ccea6344b3" /><Relationship Type="http://schemas.openxmlformats.org/officeDocument/2006/relationships/worksheet" Target="/xl/worksheets/sheet11.xml" Id="Raed4abcbe3e4441f" /><Relationship Type="http://schemas.openxmlformats.org/officeDocument/2006/relationships/worksheet" Target="/xl/worksheets/sheet12.xml" Id="R725d9bb44ea1497d" /><Relationship Type="http://schemas.openxmlformats.org/officeDocument/2006/relationships/worksheet" Target="/xl/worksheets/sheet13.xml" Id="R29c8dcfb36ed4dcf" /><Relationship Type="http://schemas.openxmlformats.org/officeDocument/2006/relationships/worksheet" Target="/xl/worksheets/sheet14.xml" Id="R9f9453244ce84a35" /><Relationship Type="http://schemas.microsoft.com/office/2017/10/relationships/person" Target="/xl/persons/person.xml" Id="R24ec3f8b965847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0618fe5c6f4d14" /><Relationship Type="http://schemas.openxmlformats.org/officeDocument/2006/relationships/chart" Target="/xl/drawings/charts/chart2.xml" Id="R219982079f004f3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00354ca118a4f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OEE by line</a:t>
            </a:r>
          </a:p>
        </c:rich>
      </c:tx>
    </c:title>
    <c:plotArea>
      <c:lineChart>
        <c:grouping val="standard"/>
        <c:ser>
          <c:idx val="0"/>
          <c:order val="0"/>
          <c:tx>
            <c:v>LINE-A</c:v>
          </c:tx>
          <c:marker>
            <c:symbol val="none"/>
          </c:marker>
          <c:cat>
            <c:strRef>
              <c:f>'Executive Dashboard'!$P$2:$P$19</c:f>
              <c:strCache>
                <c:ptCount val="0"/>
              </c:strCache>
            </c:strRef>
          </c:cat>
          <c:val>
            <c:numRef>
              <c:f>'Executive Dashboard'!$Q$2:$Q$19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LINE-B</c:v>
          </c:tx>
          <c:marker>
            <c:symbol val="none"/>
          </c:marker>
          <c:cat>
            <c:strRef>
              <c:f>'Executive Dashboard'!$P$2:$P$19</c:f>
              <c:strCache>
                <c:ptCount val="0"/>
              </c:strCache>
            </c:strRef>
          </c:cat>
          <c:val>
            <c:numRef>
              <c:f>'Executive Dashboard'!$R$2:$R$19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LINE-C</c:v>
          </c:tx>
          <c:marker>
            <c:symbol val="none"/>
          </c:marker>
          <c:cat>
            <c:strRef>
              <c:f>'Executive Dashboard'!$P$2:$P$19</c:f>
              <c:strCache>
                <c:ptCount val="0"/>
              </c:strCache>
            </c:strRef>
          </c:cat>
          <c:val>
            <c:numRef>
              <c:f>'Executive Dashboard'!$S$2:$S$19</c:f>
              <c:numCache>
                <c:formatCode>0%</c:formatCode>
                <c:ptCount val="0"/>
              </c:numCache>
            </c:numRef>
          </c:val>
        </c:ser>
        <c:ser>
          <c:idx val="3"/>
          <c:order val="3"/>
          <c:tx>
            <c:v>LINE-D</c:v>
          </c:tx>
          <c:marker>
            <c:symbol val="none"/>
          </c:marker>
          <c:cat>
            <c:strRef>
              <c:f>'Executive Dashboard'!$P$2:$P$19</c:f>
              <c:strCache>
                <c:ptCount val="0"/>
              </c:strCache>
            </c:strRef>
          </c:cat>
          <c:val>
            <c:numRef>
              <c:f>'Executive Dashboard'!$T$2:$T$19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Unplanned downtime Pareto (hours)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duration_min</c:v>
          </c:tx>
          <c:cat>
            <c:strRef>
              <c:f>'Executive Dashboard'!$P$24:$P$29</c:f>
              <c:strCache>
                <c:ptCount val="0"/>
              </c:strCache>
            </c:strRef>
          </c:cat>
          <c:val>
            <c:numRef>
              <c:f>'Executive Dashboard'!$Q$24:$Q$29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net benefit by machine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Benefit</c:v>
          </c:tx>
          <c:cat>
            <c:strRef>
              <c:f>'Chart Data'!$A$5:$A$16</c:f>
              <c:strCache>
                <c:ptCount val="0"/>
              </c:strCache>
            </c:strRef>
          </c:cat>
          <c:val>
            <c:numRef>
              <c:f>'Chart Data'!$B$5:$B$16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0618fe5c6f4d14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982079f004f3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0354ca118a4f1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Murat Mirac Gedik" id="{92C2B6D3-9BF9-4FF4-8999-BA00DB2DA459}"/>
</xltc:personList>
</file>

<file path=xl/tables/table1.xml><?xml version="1.0" encoding="utf-8"?>
<x:table xmlns:x="http://schemas.openxmlformats.org/spreadsheetml/2006/main" id="1" name="OEEDataTable" displayName="OEEDataTable" ref="A1:Q73" headerRowCount="1" totalsRowCount="0" totalsRowShown="0">
  <x:tableColumns count="17">
    <x:tableColumn id="1" name="month"/>
    <x:tableColumn id="2" name="line_id"/>
    <x:tableColumn id="3" name="planned_production_min"/>
    <x:tableColumn id="4" name="run_time_min"/>
    <x:tableColumn id="5" name="total_units"/>
    <x:tableColumn id="6" name="first_pass_good_units"/>
    <x:tableColumn id="7" name="scrap_units"/>
    <x:tableColumn id="8" name="rework_units"/>
    <x:tableColumn id="9" name="copq"/>
    <x:tableColumn id="10" name="unplanned_downtime_min"/>
    <x:tableColumn id="11" name="availability"/>
    <x:tableColumn id="12" name="performance"/>
    <x:tableColumn id="13" name="quality_rate"/>
    <x:tableColumn id="14" name="oee"/>
    <x:tableColumn id="15" name="fpy"/>
    <x:tableColumn id="16" name="scrap_rate"/>
    <x:tableColumn id="17" name="rework_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wntimeDataTable" displayName="DowntimeDataTable" ref="A1:E7" headerRowCount="1" totalsRowCount="0" totalsRowShown="0">
  <x:tableColumns count="5">
    <x:tableColumn id="1" name="category"/>
    <x:tableColumn id="2" name="duration_min"/>
    <x:tableColumn id="3" name="event_count"/>
    <x:tableColumn id="4" name="share"/>
    <x:tableColumn id="5" name="cumulative_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bilityDataTable" displayName="CapabilityDataTable" ref="A1:J5" headerRowCount="1" totalsRowCount="0" totalsRowShown="0">
  <x:tableColumns count="10">
    <x:tableColumn id="1" name="product_id"/>
    <x:tableColumn id="2" name="mean"/>
    <x:tableColumn id="3" name="lsl"/>
    <x:tableColumn id="4" name="usl"/>
    <x:tableColumn id="5" name="sigma_within"/>
    <x:tableColumn id="6" name="sigma_overall"/>
    <x:tableColumn id="7" name="cp"/>
    <x:tableColumn id="8" name="cpk"/>
    <x:tableColumn id="9" name="pp"/>
    <x:tableColumn id="10" name="pp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iabilityDataTable" displayName="ReliabilityDataTable" ref="A1:I13" headerRowCount="1" totalsRowCount="0" totalsRowShown="0">
  <x:tableColumns count="9">
    <x:tableColumn id="1" name="machine_id"/>
    <x:tableColumn id="2" name="line_id"/>
    <x:tableColumn id="3" name="criticality"/>
    <x:tableColumn id="4" name="operating_hours"/>
    <x:tableColumn id="5" name="failure_count"/>
    <x:tableColumn id="6" name="total_repair_hours"/>
    <x:tableColumn id="7" name="mtbf_hours"/>
    <x:tableColumn id="8" name="mttr_hours"/>
    <x:tableColumn id="9" name="intrinsic_relia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CDataTable" displayName="SPCDataTable" ref="A1:S321" headerRowCount="1" totalsRowCount="0" totalsRowShown="0">
  <x:tableColumns count="19">
    <x:tableColumn id="1" name="subgroup_id"/>
    <x:tableColumn id="2" name="timestamp"/>
    <x:tableColumn id="3" name="machine_id"/>
    <x:tableColumn id="4" name="product_id"/>
    <x:tableColumn id="5" name="xbar"/>
    <x:tableColumn id="6" name="range"/>
    <x:tableColumn id="7" name="n"/>
    <x:tableColumn id="8" name="xbar_lcl"/>
    <x:tableColumn id="9" name="xbar_cl"/>
    <x:tableColumn id="10" name="xbar_ucl"/>
    <x:tableColumn id="11" name="range_lcl"/>
    <x:tableColumn id="12" name="range_cl"/>
    <x:tableColumn id="13" name="range_ucl"/>
    <x:tableColumn id="14" name="rule_1_beyond_3sigma"/>
    <x:tableColumn id="15" name="rule_2_two_of_three_beyond_2sigma"/>
    <x:tableColumn id="16" name="rule_3_four_of_five_beyond_1sigma"/>
    <x:tableColumn id="17" name="rule_4_eight_same_side"/>
    <x:tableColumn id="18" name="any_signal"/>
    <x:tableColumn id="19" name="range_rule_1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intenanceDataTable" displayName="MaintenanceDataTable" ref="A1:Y13" headerRowCount="1" totalsRowCount="0" totalsRowShown="0">
  <x:tableColumns count="25">
    <x:tableColumn id="1" name="shift_id"/>
    <x:tableColumn id="2" name="timestamp"/>
    <x:tableColumn id="3" name="line_id"/>
    <x:tableColumn id="4" name="machine_id"/>
    <x:tableColumn id="5" name="product_id"/>
    <x:tableColumn id="6" name="criticality"/>
    <x:tableColumn id="7" name="failure_cost"/>
    <x:tableColumn id="8" name="maintenance_cost"/>
    <x:tableColumn id="9" name="failure_within_24h"/>
    <x:tableColumn id="10" name="next_failure_hours"/>
    <x:tableColumn id="11" name="failure_probability"/>
    <x:tableColumn id="12" name="alert"/>
    <x:tableColumn id="13" name="model_name"/>
    <x:tableColumn id="14" name="priority"/>
    <x:tableColumn id="15" name="recommended_action"/>
    <x:tableColumn id="16" name="model_threshold"/>
    <x:tableColumn id="17" name="estimated_failure_cost"/>
    <x:tableColumn id="18" name="estimated_maintenance_cost"/>
    <x:tableColumn id="19" name="expected_failure_cost"/>
    <x:tableColumn id="20" name="expected_avoided_loss"/>
    <x:tableColumn id="21" name="expected_net_benefit"/>
    <x:tableColumn id="22" name="risk_cost_ratio"/>
    <x:tableColumn id="23" name="reason_codes"/>
    <x:tableColumn id="24" name="human_approval_required"/>
    <x:tableColumn id="25" name="execution_m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riftDataTable" displayName="DriftDataTable" ref="A1:D24" headerRowCount="1" totalsRowCount="0" totalsRowShown="0">
  <x:tableColumns count="4">
    <x:tableColumn id="1" name="feature"/>
    <x:tableColumn id="2" name="feature_type"/>
    <x:tableColumn id="3" name="psi"/>
    <x:tableColumn id="4" name="seve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APDataTable" displayName="SHAPDataTable" ref="A1:C24" headerRowCount="1" totalsRowCount="0" totalsRowShown="0">
  <x:tableColumns count="3">
    <x:tableColumn id="1" name="base_feature"/>
    <x:tableColumn id="2" name="reason_code"/>
    <x:tableColumn id="3" name="mean_absolute_sh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3" dT="2026-07-29T12:14:59.557" personId="{92C2B6D3-9BF9-4FF4-8999-BA00DB2DA459}" id="{BCC940F2-203D-192D-6189-050A162392BC}">
    <xltc:text>Synthetic false-negative cost used for validation-only threshold selection.</xltc:text>
  </xltc:threadedComment>
  <xltc:threadedComment ref="B15" dT="2026-07-29T12:14:59.558" personId="{92C2B6D3-9BF9-4FF4-8999-BA00DB2DA459}" id="{6811320B-E255-463C-BB28-E3CFDF27D98B}">
    <xltc:text>Selected from validation data with recall and review-capacity constraints; OOT was not used.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a5740eb27f4e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929811a4d94d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982dda50bb4a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752b0b99a246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be414a7fdd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56f45fe26474c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73e73f901434c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579d58e706849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1.xml" Id="R988f9d3d8a0e4597" /><Relationship Type="http://schemas.openxmlformats.org/officeDocument/2006/relationships/vmlDrawing" Target="/xl/drawings/vmldrawing.vml" Id="Rfbecd50cfd214a4d" /><Relationship Type="http://schemas.microsoft.com/office/2017/10/relationships/threadedComment" Target="/xl/threadedcomments/threadedcomment.xml" Id="R9f9b7451b96543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57863e0c2ace4d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c25cfad33a0e47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15" hidden="0" customHeight="1">
      <x:c r="A1" s="11" t="str">
        <x:v>month</x:v>
      </x:c>
      <x:c r="B1" s="12" t="str">
        <x:v>line_id</x:v>
      </x:c>
      <x:c r="C1" s="12" t="str">
        <x:v>planned_production_min</x:v>
      </x:c>
      <x:c r="D1" s="12" t="str">
        <x:v>run_time_min</x:v>
      </x:c>
      <x:c r="E1" s="12" t="str">
        <x:v>total_units</x:v>
      </x:c>
      <x:c r="F1" s="12" t="str">
        <x:v>first_pass_good_units</x:v>
      </x:c>
      <x:c r="G1" s="12" t="str">
        <x:v>scrap_units</x:v>
      </x:c>
      <x:c r="H1" s="12" t="str">
        <x:v>rework_units</x:v>
      </x:c>
      <x:c r="I1" s="12" t="str">
        <x:v>copq</x:v>
      </x:c>
      <x:c r="J1" s="12" t="str">
        <x:v>unplanned_downtime_min</x:v>
      </x:c>
      <x:c r="K1" s="12" t="str">
        <x:v>availability</x:v>
      </x:c>
      <x:c r="L1" s="12" t="str">
        <x:v>performance</x:v>
      </x:c>
      <x:c r="M1" s="12" t="str">
        <x:v>quality_rate</x:v>
      </x:c>
      <x:c r="N1" s="12" t="str">
        <x:v>oee</x:v>
      </x:c>
      <x:c r="O1" s="12" t="str">
        <x:v>fpy</x:v>
      </x:c>
      <x:c r="P1" s="12" t="str">
        <x:v>scrap_rate</x:v>
      </x:c>
      <x:c r="Q1" s="13" t="str">
        <x:v>rework_rate</x:v>
      </x:c>
    </x:row>
    <x:row r="2" ht="15" hidden="0" customHeight="1">
      <x:c r="A2" s="2" t="str">
        <x:v>2024-01-01</x:v>
      </x:c>
      <x:c r="B2" s="2" t="str">
        <x:v>LINE-A</x:v>
      </x:c>
      <x:c r="C2" s="15" t="n">
        <x:v>128012</x:v>
      </x:c>
      <x:c r="D2" s="15" t="n">
        <x:v>125961.4234615581</x:v>
      </x:c>
      <x:c r="E2" s="15" t="n">
        <x:v>278228</x:v>
      </x:c>
      <x:c r="F2" s="15" t="n">
        <x:v>266350</x:v>
      </x:c>
      <x:c r="G2" s="15" t="n">
        <x:v>5004</x:v>
      </x:c>
      <x:c r="H2" s="15" t="n">
        <x:v>6874</x:v>
      </x:c>
      <x:c r="I2" s="15" t="n">
        <x:v>166419</x:v>
      </x:c>
      <x:c r="J2" s="15" t="n">
        <x:v>2050.5765384419096</x:v>
      </x:c>
      <x:c r="K2" s="16" t="n">
        <x:v>0.983981372539747</x:v>
      </x:c>
      <x:c r="L2" s="16" t="n">
        <x:v>0.9130544112057679</x:v>
      </x:c>
      <x:c r="M2" s="16" t="n">
        <x:v>0.9573083945541067</x:v>
      </x:c>
      <x:c r="N2" s="16" t="n">
        <x:v>0.8600731763005796</x:v>
      </x:c>
      <x:c r="O2" s="16" t="n">
        <x:v>0.9573083945541067</x:v>
      </x:c>
      <x:c r="P2" s="16" t="n">
        <x:v>0.017985249507598083</x:v>
      </x:c>
      <x:c r="Q2" s="16" t="n">
        <x:v>0.02470635593829521</x:v>
      </x:c>
    </x:row>
    <x:row r="3" ht="15" hidden="0" customHeight="1">
      <x:c r="A3" s="2" t="str">
        <x:v>2024-01-01</x:v>
      </x:c>
      <x:c r="B3" s="2" t="str">
        <x:v>LINE-B</x:v>
      </x:c>
      <x:c r="C3" s="15" t="n">
        <x:v>128012</x:v>
      </x:c>
      <x:c r="D3" s="15" t="n">
        <x:v>126195.04574001564</x:v>
      </x:c>
      <x:c r="E3" s="15" t="n">
        <x:v>277927</x:v>
      </x:c>
      <x:c r="F3" s="15" t="n">
        <x:v>265566</x:v>
      </x:c>
      <x:c r="G3" s="15" t="n">
        <x:v>5277</x:v>
      </x:c>
      <x:c r="H3" s="15" t="n">
        <x:v>7084</x:v>
      </x:c>
      <x:c r="I3" s="15" t="n">
        <x:v>174239.5</x:v>
      </x:c>
      <x:c r="J3" s="15" t="n">
        <x:v>1816.9542599843483</x:v>
      </x:c>
      <x:c r="K3" s="16" t="n">
        <x:v>0.9858063754961695</x:v>
      </x:c>
      <x:c r="L3" s="16" t="n">
        <x:v>0.9113971101286257</x:v>
      </x:c>
      <x:c r="M3" s="16" t="n">
        <x:v>0.9555242923501495</x:v>
      </x:c>
      <x:c r="N3" s="16" t="n">
        <x:v>0.8585013893658533</x:v>
      </x:c>
      <x:c r="O3" s="16" t="n">
        <x:v>0.9555242923501495</x:v>
      </x:c>
      <x:c r="P3" s="16" t="n">
        <x:v>0.018987000183501423</x:v>
      </x:c>
      <x:c r="Q3" s="16" t="n">
        <x:v>0.025488707466349077</x:v>
      </x:c>
    </x:row>
    <x:row r="4" ht="15" hidden="0" customHeight="1">
      <x:c r="A4" s="2" t="str">
        <x:v>2024-01-01</x:v>
      </x:c>
      <x:c r="B4" s="2" t="str">
        <x:v>LINE-C</x:v>
      </x:c>
      <x:c r="C4" s="15" t="n">
        <x:v>128012</x:v>
      </x:c>
      <x:c r="D4" s="15" t="n">
        <x:v>126021.13254188964</x:v>
      </x:c>
      <x:c r="E4" s="15" t="n">
        <x:v>281613</x:v>
      </x:c>
      <x:c r="F4" s="15" t="n">
        <x:v>270302</x:v>
      </x:c>
      <x:c r="G4" s="15" t="n">
        <x:v>4759</x:v>
      </x:c>
      <x:c r="H4" s="15" t="n">
        <x:v>6552</x:v>
      </x:c>
      <x:c r="I4" s="15" t="n">
        <x:v>158297</x:v>
      </x:c>
      <x:c r="J4" s="15" t="n">
        <x:v>1990.8674581103603</x:v>
      </x:c>
      <x:c r="K4" s="16" t="n">
        <x:v>0.9844478060017002</x:v>
      </x:c>
      <x:c r="L4" s="16" t="n">
        <x:v>0.9208175194592378</x:v>
      </x:c>
      <x:c r="M4" s="16" t="n">
        <x:v>0.9598349508012769</x:v>
      </x:c>
      <x:c r="N4" s="16" t="n">
        <x:v>0.8700872987208919</x:v>
      </x:c>
      <x:c r="O4" s="16" t="n">
        <x:v>0.9598349508012769</x:v>
      </x:c>
      <x:c r="P4" s="16" t="n">
        <x:v>0.016899077812458942</x:v>
      </x:c>
      <x:c r="Q4" s="16" t="n">
        <x:v>0.023265971386264128</x:v>
      </x:c>
    </x:row>
    <x:row r="5" ht="15" hidden="0" customHeight="1">
      <x:c r="A5" s="2" t="str">
        <x:v>2024-01-01</x:v>
      </x:c>
      <x:c r="B5" s="2" t="str">
        <x:v>LINE-D</x:v>
      </x:c>
      <x:c r="C5" s="15" t="n">
        <x:v>128012</x:v>
      </x:c>
      <x:c r="D5" s="15" t="n">
        <x:v>126380.77092067909</x:v>
      </x:c>
      <x:c r="E5" s="15" t="n">
        <x:v>279088</x:v>
      </x:c>
      <x:c r="F5" s="15" t="n">
        <x:v>266755</x:v>
      </x:c>
      <x:c r="G5" s="15" t="n">
        <x:v>5198</x:v>
      </x:c>
      <x:c r="H5" s="15" t="n">
        <x:v>7135</x:v>
      </x:c>
      <x:c r="I5" s="15" t="n">
        <x:v>172183.5</x:v>
      </x:c>
      <x:c r="J5" s="15" t="n">
        <x:v>1631.2290793209133</x:v>
      </x:c>
      <x:c r="K5" s="16" t="n">
        <x:v>0.9872572174536691</x:v>
      </x:c>
      <x:c r="L5" s="16" t="n">
        <x:v>0.9119760268409195</x:v>
      </x:c>
      <x:c r="M5" s="16" t="n">
        <x:v>0.9558096371037093</x:v>
      </x:c>
      <x:c r="N5" s="16" t="n">
        <x:v>0.8605679042298673</x:v>
      </x:c>
      <x:c r="O5" s="16" t="n">
        <x:v>0.9558096371037093</x:v>
      </x:c>
      <x:c r="P5" s="16" t="n">
        <x:v>0.018624949836610675</x:v>
      </x:c>
      <x:c r="Q5" s="16" t="n">
        <x:v>0.0255654130596801</x:v>
      </x:c>
    </x:row>
    <x:row r="6" ht="15" hidden="0" customHeight="1">
      <x:c r="A6" s="2" t="str">
        <x:v>2024-02-01</x:v>
      </x:c>
      <x:c r="B6" s="2" t="str">
        <x:v>LINE-A</x:v>
      </x:c>
      <x:c r="C6" s="15" t="n">
        <x:v>119798</x:v>
      </x:c>
      <x:c r="D6" s="15" t="n">
        <x:v>117998.96897596808</x:v>
      </x:c>
      <x:c r="E6" s="15" t="n">
        <x:v>258526</x:v>
      </x:c>
      <x:c r="F6" s="15" t="n">
        <x:v>246618</x:v>
      </x:c>
      <x:c r="G6" s="15" t="n">
        <x:v>5135</x:v>
      </x:c>
      <x:c r="H6" s="15" t="n">
        <x:v>6773</x:v>
      </x:c>
      <x:c r="I6" s="15" t="n">
        <x:v>168950.5</x:v>
      </x:c>
      <x:c r="J6" s="15" t="n">
        <x:v>1799.0310240319209</x:v>
      </x:c>
      <x:c r="K6" s="16" t="n">
        <x:v>0.984982795839397</x:v>
      </x:c>
      <x:c r="L6" s="16" t="n">
        <x:v>0.9094070984794351</x:v>
      </x:c>
      <x:c r="M6" s="16" t="n">
        <x:v>0.9539388688178365</x:v>
      </x:c>
      <x:c r="N6" s="16" t="n">
        <x:v>0.8544910722037105</x:v>
      </x:c>
      <x:c r="O6" s="16" t="n">
        <x:v>0.9539388688178365</x:v>
      </x:c>
      <x:c r="P6" s="16" t="n">
        <x:v>0.019862605695365264</x:v>
      </x:c>
      <x:c r="Q6" s="16" t="n">
        <x:v>0.026198525486798234</x:v>
      </x:c>
    </x:row>
    <x:row r="7" ht="15" hidden="0" customHeight="1">
      <x:c r="A7" s="2" t="str">
        <x:v>2024-02-01</x:v>
      </x:c>
      <x:c r="B7" s="2" t="str">
        <x:v>LINE-B</x:v>
      </x:c>
      <x:c r="C7" s="15" t="n">
        <x:v>119798</x:v>
      </x:c>
      <x:c r="D7" s="15" t="n">
        <x:v>117628.41156310351</x:v>
      </x:c>
      <x:c r="E7" s="15" t="n">
        <x:v>259722</x:v>
      </x:c>
      <x:c r="F7" s="15" t="n">
        <x:v>247946</x:v>
      </x:c>
      <x:c r="G7" s="15" t="n">
        <x:v>4891</x:v>
      </x:c>
      <x:c r="H7" s="15" t="n">
        <x:v>6885</x:v>
      </x:c>
      <x:c r="I7" s="15" t="n">
        <x:v>163292.5</x:v>
      </x:c>
      <x:c r="J7" s="15" t="n">
        <x:v>2169.588436896486</x:v>
      </x:c>
      <x:c r="K7" s="16" t="n">
        <x:v>0.9818896105369331</x:v>
      </x:c>
      <x:c r="L7" s="16" t="n">
        <x:v>0.9078914856895963</x:v>
      </x:c>
      <x:c r="M7" s="16" t="n">
        <x:v>0.9546592125426417</x:v>
      </x:c>
      <x:c r="N7" s="16" t="n">
        <x:v>0.8510302078032198</x:v>
      </x:c>
      <x:c r="O7" s="16" t="n">
        <x:v>0.9546592125426417</x:v>
      </x:c>
      <x:c r="P7" s="16" t="n">
        <x:v>0.018831673866672827</x:v>
      </x:c>
      <x:c r="Q7" s="16" t="n">
        <x:v>0.026509113590685425</x:v>
      </x:c>
    </x:row>
    <x:row r="8" ht="15" hidden="0" customHeight="1">
      <x:c r="A8" s="2" t="str">
        <x:v>2024-02-01</x:v>
      </x:c>
      <x:c r="B8" s="2" t="str">
        <x:v>LINE-C</x:v>
      </x:c>
      <x:c r="C8" s="15" t="n">
        <x:v>119798</x:v>
      </x:c>
      <x:c r="D8" s="15" t="n">
        <x:v>117658.16940674669</x:v>
      </x:c>
      <x:c r="E8" s="15" t="n">
        <x:v>260722</x:v>
      </x:c>
      <x:c r="F8" s="15" t="n">
        <x:v>249594</x:v>
      </x:c>
      <x:c r="G8" s="15" t="n">
        <x:v>4644</x:v>
      </x:c>
      <x:c r="H8" s="15" t="n">
        <x:v>6484</x:v>
      </x:c>
      <x:c r="I8" s="15" t="n">
        <x:v>155392</x:v>
      </x:c>
      <x:c r="J8" s="15" t="n">
        <x:v>2139.8305932533112</x:v>
      </x:c>
      <x:c r="K8" s="16" t="n">
        <x:v>0.9821380107075801</x:v>
      </x:c>
      <x:c r="L8" s="16" t="n">
        <x:v>0.9124114985636596</x:v>
      </x:c>
      <x:c r="M8" s="16" t="n">
        <x:v>0.9573185231779443</x:v>
      </x:c>
      <x:c r="N8" s="16" t="n">
        <x:v>0.8578665446213414</x:v>
      </x:c>
      <x:c r="O8" s="16" t="n">
        <x:v>0.9573185231779443</x:v>
      </x:c>
      <x:c r="P8" s="16" t="n">
        <x:v>0.01781207569748621</x:v>
      </x:c>
      <x:c r="Q8" s="16" t="n">
        <x:v>0.024869401124569465</x:v>
      </x:c>
    </x:row>
    <x:row r="9" ht="15" hidden="0" customHeight="1">
      <x:c r="A9" s="2" t="str">
        <x:v>2024-02-01</x:v>
      </x:c>
      <x:c r="B9" s="2" t="str">
        <x:v>LINE-D</x:v>
      </x:c>
      <x:c r="C9" s="15" t="n">
        <x:v>119798</x:v>
      </x:c>
      <x:c r="D9" s="15" t="n">
        <x:v>117742.49850458541</x:v>
      </x:c>
      <x:c r="E9" s="15" t="n">
        <x:v>258085</x:v>
      </x:c>
      <x:c r="F9" s="15" t="n">
        <x:v>246148</x:v>
      </x:c>
      <x:c r="G9" s="15" t="n">
        <x:v>4988</x:v>
      </x:c>
      <x:c r="H9" s="15" t="n">
        <x:v>6949</x:v>
      </x:c>
      <x:c r="I9" s="15" t="n">
        <x:v>166085.5</x:v>
      </x:c>
      <x:c r="J9" s="15" t="n">
        <x:v>2055.501495414584</x:v>
      </x:c>
      <x:c r="K9" s="16" t="n">
        <x:v>0.9828419381340708</x:v>
      </x:c>
      <x:c r="L9" s="16" t="n">
        <x:v>0.9059088096598586</x:v>
      </x:c>
      <x:c r="M9" s="16" t="n">
        <x:v>0.9537477962686711</x:v>
      </x:c>
      <x:c r="N9" s="16" t="n">
        <x:v>0.8491838190087341</x:v>
      </x:c>
      <x:c r="O9" s="16" t="n">
        <x:v>0.9537477962686711</x:v>
      </x:c>
      <x:c r="P9" s="16" t="n">
        <x:v>0.019326965922079935</x:v>
      </x:c>
      <x:c r="Q9" s="16" t="n">
        <x:v>0.02692523780924889</x:v>
      </x:c>
    </x:row>
    <x:row r="10" ht="15" hidden="0" customHeight="1">
      <x:c r="A10" s="2" t="str">
        <x:v>2024-03-01</x:v>
      </x:c>
      <x:c r="B10" s="2" t="str">
        <x:v>LINE-A</x:v>
      </x:c>
      <x:c r="C10" s="15" t="n">
        <x:v>128012</x:v>
      </x:c>
      <x:c r="D10" s="15" t="n">
        <x:v>125758.41065256021</x:v>
      </x:c>
      <x:c r="E10" s="15" t="n">
        <x:v>276922</x:v>
      </x:c>
      <x:c r="F10" s="15" t="n">
        <x:v>262271</x:v>
      </x:c>
      <x:c r="G10" s="15" t="n">
        <x:v>6104</x:v>
      </x:c>
      <x:c r="H10" s="15" t="n">
        <x:v>8547</x:v>
      </x:c>
      <x:c r="I10" s="15" t="n">
        <x:v>202795.5</x:v>
      </x:c>
      <x:c r="J10" s="15" t="n">
        <x:v>2253.5893474397926</x:v>
      </x:c>
      <x:c r="K10" s="16" t="n">
        <x:v>0.9823954836465348</x:v>
      </x:c>
      <x:c r="L10" s="16" t="n">
        <x:v>0.9067549921707379</x:v>
      </x:c>
      <x:c r="M10" s="16" t="n">
        <x:v>0.947093405363243</x:v>
      </x:c>
      <x:c r="N10" s="16" t="n">
        <x:v>0.8436632373522928</x:v>
      </x:c>
      <x:c r="O10" s="16" t="n">
        <x:v>0.947093405363243</x:v>
      </x:c>
      <x:c r="P10" s="16" t="n">
        <x:v>0.022042307942308666</x:v>
      </x:c>
      <x:c r="Q10" s="16" t="n">
        <x:v>0.030864286694448257</x:v>
      </x:c>
    </x:row>
    <x:row r="11" ht="15" hidden="0" customHeight="1">
      <x:c r="A11" s="2" t="str">
        <x:v>2024-03-01</x:v>
      </x:c>
      <x:c r="B11" s="2" t="str">
        <x:v>LINE-B</x:v>
      </x:c>
      <x:c r="C11" s="15" t="n">
        <x:v>128012</x:v>
      </x:c>
      <x:c r="D11" s="15" t="n">
        <x:v>125882.02125524497</x:v>
      </x:c>
      <x:c r="E11" s="15" t="n">
        <x:v>278996</x:v>
      </x:c>
      <x:c r="F11" s="15" t="n">
        <x:v>265552</x:v>
      </x:c>
      <x:c r="G11" s="15" t="n">
        <x:v>5638</x:v>
      </x:c>
      <x:c r="H11" s="15" t="n">
        <x:v>7806</x:v>
      </x:c>
      <x:c r="I11" s="15" t="n">
        <x:v>188999</x:v>
      </x:c>
      <x:c r="J11" s="15" t="n">
        <x:v>2129.978744755032</x:v>
      </x:c>
      <x:c r="K11" s="16" t="n">
        <x:v>0.9833611009533869</x:v>
      </x:c>
      <x:c r="L11" s="16" t="n">
        <x:v>0.9151235327435625</x:v>
      </x:c>
      <x:c r="M11" s="16" t="n">
        <x:v>0.9518129292176232</x:v>
      </x:c>
      <x:c r="N11" s="16" t="n">
        <x:v>0.8565334897887703</x:v>
      </x:c>
      <x:c r="O11" s="16" t="n">
        <x:v>0.9518129292176232</x:v>
      </x:c>
      <x:c r="P11" s="16" t="n">
        <x:v>0.020208175027598963</x:v>
      </x:c>
      <x:c r="Q11" s="16" t="n">
        <x:v>0.027978895754777845</x:v>
      </x:c>
    </x:row>
    <x:row r="12" ht="15" hidden="0" customHeight="1">
      <x:c r="A12" s="2" t="str">
        <x:v>2024-03-01</x:v>
      </x:c>
      <x:c r="B12" s="2" t="str">
        <x:v>LINE-C</x:v>
      </x:c>
      <x:c r="C12" s="15" t="n">
        <x:v>128012</x:v>
      </x:c>
      <x:c r="D12" s="15" t="n">
        <x:v>125969.17286511543</x:v>
      </x:c>
      <x:c r="E12" s="15" t="n">
        <x:v>276932</x:v>
      </x:c>
      <x:c r="F12" s="15" t="n">
        <x:v>262400</x:v>
      </x:c>
      <x:c r="G12" s="15" t="n">
        <x:v>6105</x:v>
      </x:c>
      <x:c r="H12" s="15" t="n">
        <x:v>8427</x:v>
      </x:c>
      <x:c r="I12" s="15" t="n">
        <x:v>204163</x:v>
      </x:c>
      <x:c r="J12" s="15" t="n">
        <x:v>2042.827134884567</x:v>
      </x:c>
      <x:c r="K12" s="16" t="n">
        <x:v>0.9840419090797381</x:v>
      </x:c>
      <x:c r="L12" s="16" t="n">
        <x:v>0.9091507395170172</x:v>
      </x:c>
      <x:c r="M12" s="16" t="n">
        <x:v>0.9475250241936649</x:v>
      </x:c>
      <x:c r="N12" s="16" t="n">
        <x:v>0.8476960895198262</x:v>
      </x:c>
      <x:c r="O12" s="16" t="n">
        <x:v>0.9475250241936649</x:v>
      </x:c>
      <x:c r="P12" s="16" t="n">
        <x:v>0.02204512299048142</x:v>
      </x:c>
      <x:c r="Q12" s="16" t="n">
        <x:v>0.03042985281585371</x:v>
      </x:c>
    </x:row>
    <x:row r="13" ht="15" hidden="0" customHeight="1">
      <x:c r="A13" s="2" t="str">
        <x:v>2024-03-01</x:v>
      </x:c>
      <x:c r="B13" s="2" t="str">
        <x:v>LINE-D</x:v>
      </x:c>
      <x:c r="C13" s="15" t="n">
        <x:v>128012</x:v>
      </x:c>
      <x:c r="D13" s="15" t="n">
        <x:v>125932.5891997669</x:v>
      </x:c>
      <x:c r="E13" s="15" t="n">
        <x:v>275325</x:v>
      </x:c>
      <x:c r="F13" s="15" t="n">
        <x:v>259875</x:v>
      </x:c>
      <x:c r="G13" s="15" t="n">
        <x:v>6501</x:v>
      </x:c>
      <x:c r="H13" s="15" t="n">
        <x:v>8949</x:v>
      </x:c>
      <x:c r="I13" s="15" t="n">
        <x:v>216965</x:v>
      </x:c>
      <x:c r="J13" s="15" t="n">
        <x:v>2079.4108002331104</x:v>
      </x:c>
      <x:c r="K13" s="16" t="n">
        <x:v>0.9837561259863676</x:v>
      </x:c>
      <x:c r="L13" s="16" t="n">
        <x:v>0.9039799313007698</x:v>
      </x:c>
      <x:c r="M13" s="16" t="n">
        <x:v>0.9438845001362026</x:v>
      </x:c>
      <x:c r="N13" s="16" t="n">
        <x:v>0.8393925171122399</x:v>
      </x:c>
      <x:c r="O13" s="16" t="n">
        <x:v>0.9438845001362026</x:v>
      </x:c>
      <x:c r="P13" s="16" t="n">
        <x:v>0.023612094797058024</x:v>
      </x:c>
      <x:c r="Q13" s="16" t="n">
        <x:v>0.03250340506673931</x:v>
      </x:c>
    </x:row>
    <x:row r="14" ht="15" hidden="0" customHeight="1">
      <x:c r="A14" s="2" t="str">
        <x:v>2024-04-01</x:v>
      </x:c>
      <x:c r="B14" s="2" t="str">
        <x:v>LINE-A</x:v>
      </x:c>
      <x:c r="C14" s="15" t="n">
        <x:v>123905</x:v>
      </x:c>
      <x:c r="D14" s="15" t="n">
        <x:v>121849.47365326723</x:v>
      </x:c>
      <x:c r="E14" s="15" t="n">
        <x:v>269041</x:v>
      </x:c>
      <x:c r="F14" s="15" t="n">
        <x:v>257094</x:v>
      </x:c>
      <x:c r="G14" s="15" t="n">
        <x:v>5019</x:v>
      </x:c>
      <x:c r="H14" s="15" t="n">
        <x:v>6928</x:v>
      </x:c>
      <x:c r="I14" s="15" t="n">
        <x:v>167464</x:v>
      </x:c>
      <x:c r="J14" s="15" t="n">
        <x:v>2055.526346732772</x:v>
      </x:c>
      <x:c r="K14" s="16" t="n">
        <x:v>0.98341046489865</x:v>
      </x:c>
      <x:c r="L14" s="16" t="n">
        <x:v>0.9081593052114605</x:v>
      </x:c>
      <x:c r="M14" s="16" t="n">
        <x:v>0.9555941287759114</x:v>
      </x:c>
      <x:c r="N14" s="16" t="n">
        <x:v>0.8534347756031845</x:v>
      </x:c>
      <x:c r="O14" s="16" t="n">
        <x:v>0.9555941287759114</x:v>
      </x:c>
      <x:c r="P14" s="16" t="n">
        <x:v>0.018655149215175384</x:v>
      </x:c>
      <x:c r="Q14" s="16" t="n">
        <x:v>0.02575072200891314</x:v>
      </x:c>
    </x:row>
    <x:row r="15" ht="15" hidden="0" customHeight="1">
      <x:c r="A15" s="2" t="str">
        <x:v>2024-04-01</x:v>
      </x:c>
      <x:c r="B15" s="2" t="str">
        <x:v>LINE-B</x:v>
      </x:c>
      <x:c r="C15" s="15" t="n">
        <x:v>123905</x:v>
      </x:c>
      <x:c r="D15" s="15" t="n">
        <x:v>121962.08921740824</x:v>
      </x:c>
      <x:c r="E15" s="15" t="n">
        <x:v>269228</x:v>
      </x:c>
      <x:c r="F15" s="15" t="n">
        <x:v>257680</x:v>
      </x:c>
      <x:c r="G15" s="15" t="n">
        <x:v>4844</x:v>
      </x:c>
      <x:c r="H15" s="15" t="n">
        <x:v>6704</x:v>
      </x:c>
      <x:c r="I15" s="15" t="n">
        <x:v>160834.5</x:v>
      </x:c>
      <x:c r="J15" s="15" t="n">
        <x:v>1942.9107825917663</x:v>
      </x:c>
      <x:c r="K15" s="16" t="n">
        <x:v>0.9843193512562709</x:v>
      </x:c>
      <x:c r="L15" s="16" t="n">
        <x:v>0.9128555224091345</x:v>
      </x:c>
      <x:c r="M15" s="16" t="n">
        <x:v>0.957106987386156</x:v>
      </x:c>
      <x:c r="N15" s="16" t="n">
        <x:v>0.8600002099082892</x:v>
      </x:c>
      <x:c r="O15" s="16" t="n">
        <x:v>0.957106987386156</x:v>
      </x:c>
      <x:c r="P15" s="16" t="n">
        <x:v>0.01799218506247493</x:v>
      </x:c>
      <x:c r="Q15" s="16" t="n">
        <x:v>0.0249008275513691</x:v>
      </x:c>
    </x:row>
    <x:row r="16" ht="15" hidden="0" customHeight="1">
      <x:c r="A16" s="2" t="str">
        <x:v>2024-04-01</x:v>
      </x:c>
      <x:c r="B16" s="2" t="str">
        <x:v>LINE-C</x:v>
      </x:c>
      <x:c r="C16" s="15" t="n">
        <x:v>123905</x:v>
      </x:c>
      <x:c r="D16" s="15" t="n">
        <x:v>122179.0932083138</x:v>
      </x:c>
      <x:c r="E16" s="15" t="n">
        <x:v>269771</x:v>
      </x:c>
      <x:c r="F16" s="15" t="n">
        <x:v>258500</x:v>
      </x:c>
      <x:c r="G16" s="15" t="n">
        <x:v>4722</x:v>
      </x:c>
      <x:c r="H16" s="15" t="n">
        <x:v>6549</x:v>
      </x:c>
      <x:c r="I16" s="15" t="n">
        <x:v>157846</x:v>
      </x:c>
      <x:c r="J16" s="15" t="n">
        <x:v>1725.9067916861966</x:v>
      </x:c>
      <x:c r="K16" s="16" t="n">
        <x:v>0.9860707252194326</x:v>
      </x:c>
      <x:c r="L16" s="16" t="n">
        <x:v>0.9149211243755316</x:v>
      </x:c>
      <x:c r="M16" s="16" t="n">
        <x:v>0.9582201200277273</x:v>
      </x:c>
      <x:c r="N16" s="16" t="n">
        <x:v>0.86448409250534</x:v>
      </x:c>
      <x:c r="O16" s="16" t="n">
        <x:v>0.9582201200277273</x:v>
      </x:c>
      <x:c r="P16" s="16" t="n">
        <x:v>0.017503734649017128</x:v>
      </x:c>
      <x:c r="Q16" s="16" t="n">
        <x:v>0.02427614532325565</x:v>
      </x:c>
    </x:row>
    <x:row r="17" ht="15" hidden="0" customHeight="1">
      <x:c r="A17" s="2" t="str">
        <x:v>2024-04-01</x:v>
      </x:c>
      <x:c r="B17" s="2" t="str">
        <x:v>LINE-D</x:v>
      </x:c>
      <x:c r="C17" s="15" t="n">
        <x:v>123905</x:v>
      </x:c>
      <x:c r="D17" s="15" t="n">
        <x:v>121677.58690510354</x:v>
      </x:c>
      <x:c r="E17" s="15" t="n">
        <x:v>269448</x:v>
      </x:c>
      <x:c r="F17" s="15" t="n">
        <x:v>257967</x:v>
      </x:c>
      <x:c r="G17" s="15" t="n">
        <x:v>4806</x:v>
      </x:c>
      <x:c r="H17" s="15" t="n">
        <x:v>6675</x:v>
      </x:c>
      <x:c r="I17" s="15" t="n">
        <x:v>159756</x:v>
      </x:c>
      <x:c r="J17" s="15" t="n">
        <x:v>2227.413094896459</x:v>
      </x:c>
      <x:c r="K17" s="16" t="n">
        <x:v>0.9820232186360804</x:v>
      </x:c>
      <x:c r="L17" s="16" t="n">
        <x:v>0.9149915732097492</x:v>
      </x:c>
      <x:c r="M17" s="16" t="n">
        <x:v>0.9573906653602922</x:v>
      </x:c>
      <x:c r="N17" s="16" t="n">
        <x:v>0.8602566516621654</x:v>
      </x:c>
      <x:c r="O17" s="16" t="n">
        <x:v>0.9573906653602922</x:v>
      </x:c>
      <x:c r="P17" s="16" t="n">
        <x:v>0.017836465663133516</x:v>
      </x:c>
      <x:c r="Q17" s="16" t="n">
        <x:v>0.02477286897657433</x:v>
      </x:c>
    </x:row>
    <x:row r="18" ht="15" hidden="0" customHeight="1">
      <x:c r="A18" s="2" t="str">
        <x:v>2024-05-01</x:v>
      </x:c>
      <x:c r="B18" s="2" t="str">
        <x:v>LINE-A</x:v>
      </x:c>
      <x:c r="C18" s="15" t="n">
        <x:v>128063</x:v>
      </x:c>
      <x:c r="D18" s="15" t="n">
        <x:v>126017.38406351682</x:v>
      </x:c>
      <x:c r="E18" s="15" t="n">
        <x:v>276053</x:v>
      </x:c>
      <x:c r="F18" s="15" t="n">
        <x:v>260940</x:v>
      </x:c>
      <x:c r="G18" s="15" t="n">
        <x:v>6292</x:v>
      </x:c>
      <x:c r="H18" s="15" t="n">
        <x:v>8821</x:v>
      </x:c>
      <x:c r="I18" s="15" t="n">
        <x:v>210977.5</x:v>
      </x:c>
      <x:c r="J18" s="15" t="n">
        <x:v>2045.6159364831854</x:v>
      </x:c>
      <x:c r="K18" s="16" t="n">
        <x:v>0.9840264874594287</x:v>
      </x:c>
      <x:c r="L18" s="16" t="n">
        <x:v>0.9043011606178742</x:v>
      </x:c>
      <x:c r="M18" s="16" t="n">
        <x:v>0.9452532665828663</x:v>
      </x:c>
      <x:c r="N18" s="16" t="n">
        <x:v>0.8411395693434331</x:v>
      </x:c>
      <x:c r="O18" s="16" t="n">
        <x:v>0.9452532665828663</x:v>
      </x:c>
      <x:c r="P18" s="16" t="n">
        <x:v>0.022792724585496263</x:v>
      </x:c>
      <x:c r="Q18" s="16" t="n">
        <x:v>0.031954008831637404</x:v>
      </x:c>
    </x:row>
    <x:row r="19" ht="15" hidden="0" customHeight="1">
      <x:c r="A19" s="2" t="str">
        <x:v>2024-05-01</x:v>
      </x:c>
      <x:c r="B19" s="2" t="str">
        <x:v>LINE-B</x:v>
      </x:c>
      <x:c r="C19" s="15" t="n">
        <x:v>128063</x:v>
      </x:c>
      <x:c r="D19" s="15" t="n">
        <x:v>125994.84510721178</x:v>
      </x:c>
      <x:c r="E19" s="15" t="n">
        <x:v>278147</x:v>
      </x:c>
      <x:c r="F19" s="15" t="n">
        <x:v>264249</x:v>
      </x:c>
      <x:c r="G19" s="15" t="n">
        <x:v>5963</x:v>
      </x:c>
      <x:c r="H19" s="15" t="n">
        <x:v>7935</x:v>
      </x:c>
      <x:c r="I19" s="15" t="n">
        <x:v>194831</x:v>
      </x:c>
      <x:c r="J19" s="15" t="n">
        <x:v>2068.15489278822</x:v>
      </x:c>
      <x:c r="K19" s="16" t="n">
        <x:v>0.9838504884877894</x:v>
      </x:c>
      <x:c r="L19" s="16" t="n">
        <x:v>0.9124674894609596</x:v>
      </x:c>
      <x:c r="M19" s="16" t="n">
        <x:v>0.9500336153185186</x:v>
      </x:c>
      <x:c r="N19" s="16" t="n">
        <x:v>0.8528751835068042</x:v>
      </x:c>
      <x:c r="O19" s="16" t="n">
        <x:v>0.9500336153185186</x:v>
      </x:c>
      <x:c r="P19" s="16" t="n">
        <x:v>0.02143830420604932</x:v>
      </x:c>
      <x:c r="Q19" s="16" t="n">
        <x:v>0.028528080475432056</x:v>
      </x:c>
    </x:row>
    <x:row r="20" ht="15" hidden="0" customHeight="1">
      <x:c r="A20" s="2" t="str">
        <x:v>2024-05-01</x:v>
      </x:c>
      <x:c r="B20" s="2" t="str">
        <x:v>LINE-C</x:v>
      </x:c>
      <x:c r="C20" s="15" t="n">
        <x:v>128063</x:v>
      </x:c>
      <x:c r="D20" s="15" t="n">
        <x:v>125755.86548838473</x:v>
      </x:c>
      <x:c r="E20" s="15" t="n">
        <x:v>275096</x:v>
      </x:c>
      <x:c r="F20" s="15" t="n">
        <x:v>260433</x:v>
      </x:c>
      <x:c r="G20" s="15" t="n">
        <x:v>6176</x:v>
      </x:c>
      <x:c r="H20" s="15" t="n">
        <x:v>8487</x:v>
      </x:c>
      <x:c r="I20" s="15" t="n">
        <x:v>206213.5</x:v>
      </x:c>
      <x:c r="J20" s="15" t="n">
        <x:v>2307.1345116152634</x:v>
      </x:c>
      <x:c r="K20" s="16" t="n">
        <x:v>0.9819843786916185</x:v>
      </x:c>
      <x:c r="L20" s="16" t="n">
        <x:v>0.905964899192102</x:v>
      </x:c>
      <x:c r="M20" s="16" t="n">
        <x:v>0.9466986070317271</x:v>
      </x:c>
      <x:c r="N20" s="16" t="n">
        <x:v>0.8422241473225482</x:v>
      </x:c>
      <x:c r="O20" s="16" t="n">
        <x:v>0.9466986070317271</x:v>
      </x:c>
      <x:c r="P20" s="16" t="n">
        <x:v>0.022450344606973566</x:v>
      </x:c>
      <x:c r="Q20" s="16" t="n">
        <x:v>0.03085104836129933</x:v>
      </x:c>
    </x:row>
    <x:row r="21" ht="15" hidden="0" customHeight="1">
      <x:c r="A21" s="2" t="str">
        <x:v>2024-05-01</x:v>
      </x:c>
      <x:c r="B21" s="2" t="str">
        <x:v>LINE-D</x:v>
      </x:c>
      <x:c r="C21" s="15" t="n">
        <x:v>128063</x:v>
      </x:c>
      <x:c r="D21" s="15" t="n">
        <x:v>125961.12808696573</x:v>
      </x:c>
      <x:c r="E21" s="15" t="n">
        <x:v>278582</x:v>
      </x:c>
      <x:c r="F21" s="15" t="n">
        <x:v>264691</x:v>
      </x:c>
      <x:c r="G21" s="15" t="n">
        <x:v>5824</x:v>
      </x:c>
      <x:c r="H21" s="15" t="n">
        <x:v>8067</x:v>
      </x:c>
      <x:c r="I21" s="15" t="n">
        <x:v>192419.5</x:v>
      </x:c>
      <x:c r="J21" s="15" t="n">
        <x:v>2101.871913034271</x:v>
      </x:c>
      <x:c r="K21" s="16" t="n">
        <x:v>0.9835872038525236</x:v>
      </x:c>
      <x:c r="L21" s="16" t="n">
        <x:v>0.9107460511213928</x:v>
      </x:c>
      <x:c r="M21" s="16" t="n">
        <x:v>0.9501367640407492</x:v>
      </x:c>
      <x:c r="N21" s="16" t="n">
        <x:v>0.8511307667264166</x:v>
      </x:c>
      <x:c r="O21" s="16" t="n">
        <x:v>0.9501367640407492</x:v>
      </x:c>
      <x:c r="P21" s="16" t="n">
        <x:v>0.020905873315576744</x:v>
      </x:c>
      <x:c r="Q21" s="16" t="n">
        <x:v>0.028957362643674035</x:v>
      </x:c>
    </x:row>
    <x:row r="22" ht="15" hidden="0" customHeight="1">
      <x:c r="A22" s="2" t="str">
        <x:v>2024-06-01</x:v>
      </x:c>
      <x:c r="B22" s="2" t="str">
        <x:v>LINE-A</x:v>
      </x:c>
      <x:c r="C22" s="15" t="n">
        <x:v>123905</x:v>
      </x:c>
      <x:c r="D22" s="15" t="n">
        <x:v>121474.28530277628</x:v>
      </x:c>
      <x:c r="E22" s="15" t="n">
        <x:v>267348</x:v>
      </x:c>
      <x:c r="F22" s="15" t="n">
        <x:v>255362</x:v>
      </x:c>
      <x:c r="G22" s="15" t="n">
        <x:v>4991</x:v>
      </x:c>
      <x:c r="H22" s="15" t="n">
        <x:v>6995</x:v>
      </x:c>
      <x:c r="I22" s="15" t="n">
        <x:v>166960</x:v>
      </x:c>
      <x:c r="J22" s="15" t="n">
        <x:v>2430.7146972237188</x:v>
      </x:c>
      <x:c r="K22" s="16" t="n">
        <x:v>0.9803824325311834</x:v>
      </x:c>
      <x:c r="L22" s="16" t="n">
        <x:v>0.9087618809598136</x:v>
      </x:c>
      <x:c r="M22" s="16" t="n">
        <x:v>0.9551670481918698</x:v>
      </x:c>
      <x:c r="N22" s="16" t="n">
        <x:v>0.8509909741363008</x:v>
      </x:c>
      <x:c r="O22" s="16" t="n">
        <x:v>0.9551670481918698</x:v>
      </x:c>
      <x:c r="P22" s="16" t="n">
        <x:v>0.01866855185002319</x:v>
      </x:c>
      <x:c r="Q22" s="16" t="n">
        <x:v>0.026164399958107036</x:v>
      </x:c>
    </x:row>
    <x:row r="23" ht="15" hidden="0" customHeight="1">
      <x:c r="A23" s="2" t="str">
        <x:v>2024-06-01</x:v>
      </x:c>
      <x:c r="B23" s="2" t="str">
        <x:v>LINE-B</x:v>
      </x:c>
      <x:c r="C23" s="15" t="n">
        <x:v>123905</x:v>
      </x:c>
      <x:c r="D23" s="15" t="n">
        <x:v>121939.3335625569</x:v>
      </x:c>
      <x:c r="E23" s="15" t="n">
        <x:v>266417</x:v>
      </x:c>
      <x:c r="F23" s="15" t="n">
        <x:v>254139</x:v>
      </x:c>
      <x:c r="G23" s="15" t="n">
        <x:v>5129</x:v>
      </x:c>
      <x:c r="H23" s="15" t="n">
        <x:v>7149</x:v>
      </x:c>
      <x:c r="I23" s="15" t="n">
        <x:v>171817.5</x:v>
      </x:c>
      <x:c r="J23" s="15" t="n">
        <x:v>1965.6664374431007</x:v>
      </x:c>
      <x:c r="K23" s="16" t="n">
        <x:v>0.9841356972079973</x:v>
      </x:c>
      <x:c r="L23" s="16" t="n">
        <x:v>0.906779872440487</x:v>
      </x:c>
      <x:c r="M23" s="16" t="n">
        <x:v>0.9539143523123524</x:v>
      </x:c>
      <x:c r="N23" s="16" t="n">
        <x:v>0.8512678661269663</x:v>
      </x:c>
      <x:c r="O23" s="16" t="n">
        <x:v>0.9539143523123524</x:v>
      </x:c>
      <x:c r="P23" s="16" t="n">
        <x:v>0.01925177447385114</x:v>
      </x:c>
      <x:c r="Q23" s="16" t="n">
        <x:v>0.026833873213796416</x:v>
      </x:c>
    </x:row>
    <x:row r="24" ht="15" hidden="0" customHeight="1">
      <x:c r="A24" s="2" t="str">
        <x:v>2024-06-01</x:v>
      </x:c>
      <x:c r="B24" s="2" t="str">
        <x:v>LINE-C</x:v>
      </x:c>
      <x:c r="C24" s="15" t="n">
        <x:v>123905</x:v>
      </x:c>
      <x:c r="D24" s="15" t="n">
        <x:v>122194.69076789764</x:v>
      </x:c>
      <x:c r="E24" s="15" t="n">
        <x:v>271132</x:v>
      </x:c>
      <x:c r="F24" s="15" t="n">
        <x:v>258997</x:v>
      </x:c>
      <x:c r="G24" s="15" t="n">
        <x:v>5041</x:v>
      </x:c>
      <x:c r="H24" s="15" t="n">
        <x:v>7094</x:v>
      </x:c>
      <x:c r="I24" s="15" t="n">
        <x:v>167959</x:v>
      </x:c>
      <x:c r="J24" s="15" t="n">
        <x:v>1710.3092321023591</x:v>
      </x:c>
      <x:c r="K24" s="16" t="n">
        <x:v>0.9861966084330547</x:v>
      </x:c>
      <x:c r="L24" s="16" t="n">
        <x:v>0.9113022775393361</x:v>
      </x:c>
      <x:c r="M24" s="16" t="n">
        <x:v>0.9552432025729165</x:v>
      </x:c>
      <x:c r="N24" s="16" t="n">
        <x:v>0.858499242473431</x:v>
      </x:c>
      <x:c r="O24" s="16" t="n">
        <x:v>0.9552432025729165</x:v>
      </x:c>
      <x:c r="P24" s="16" t="n">
        <x:v>0.018592419928300605</x:v>
      </x:c>
      <x:c r="Q24" s="16" t="n">
        <x:v>0.026164377498782882</x:v>
      </x:c>
    </x:row>
    <x:row r="25" ht="15" hidden="0" customHeight="1">
      <x:c r="A25" s="2" t="str">
        <x:v>2024-06-01</x:v>
      </x:c>
      <x:c r="B25" s="2" t="str">
        <x:v>LINE-D</x:v>
      </x:c>
      <x:c r="C25" s="15" t="n">
        <x:v>123905</x:v>
      </x:c>
      <x:c r="D25" s="15" t="n">
        <x:v>121708.70999139691</x:v>
      </x:c>
      <x:c r="E25" s="15" t="n">
        <x:v>268026</x:v>
      </x:c>
      <x:c r="F25" s="15" t="n">
        <x:v>255935</x:v>
      </x:c>
      <x:c r="G25" s="15" t="n">
        <x:v>5190</x:v>
      </x:c>
      <x:c r="H25" s="15" t="n">
        <x:v>6901</x:v>
      </x:c>
      <x:c r="I25" s="15" t="n">
        <x:v>170158</x:v>
      </x:c>
      <x:c r="J25" s="15" t="n">
        <x:v>2196.2900086030804</x:v>
      </x:c>
      <x:c r="K25" s="16" t="n">
        <x:v>0.9822744037076544</x:v>
      </x:c>
      <x:c r="L25" s="16" t="n">
        <x:v>0.909328784613331</x:v>
      </x:c>
      <x:c r="M25" s="16" t="n">
        <x:v>0.9548887048271436</x:v>
      </x:c>
      <x:c r="N25" s="16" t="n">
        <x:v>0.8529165121399372</x:v>
      </x:c>
      <x:c r="O25" s="16" t="n">
        <x:v>0.9548887048271436</x:v>
      </x:c>
      <x:c r="P25" s="16" t="n">
        <x:v>0.019363793064851916</x:v>
      </x:c>
      <x:c r="Q25" s="16" t="n">
        <x:v>0.025747502108004448</x:v>
      </x:c>
    </x:row>
    <x:row r="26" ht="15" hidden="0" customHeight="1">
      <x:c r="A26" s="2" t="str">
        <x:v>2024-07-01</x:v>
      </x:c>
      <x:c r="B26" s="2" t="str">
        <x:v>LINE-A</x:v>
      </x:c>
      <x:c r="C26" s="15" t="n">
        <x:v>128012</x:v>
      </x:c>
      <x:c r="D26" s="15" t="n">
        <x:v>126001.81882013354</x:v>
      </x:c>
      <x:c r="E26" s="15" t="n">
        <x:v>278254</x:v>
      </x:c>
      <x:c r="F26" s="15" t="n">
        <x:v>263998</x:v>
      </x:c>
      <x:c r="G26" s="15" t="n">
        <x:v>5959</x:v>
      </x:c>
      <x:c r="H26" s="15" t="n">
        <x:v>8297</x:v>
      </x:c>
      <x:c r="I26" s="15" t="n">
        <x:v>198975.5</x:v>
      </x:c>
      <x:c r="J26" s="15" t="n">
        <x:v>2010.1811798664578</x:v>
      </x:c>
      <x:c r="K26" s="16" t="n">
        <x:v>0.9842969316949469</x:v>
      </x:c>
      <x:c r="L26" s="16" t="n">
        <x:v>0.9147312402254246</x:v>
      </x:c>
      <x:c r="M26" s="16" t="n">
        <x:v>0.9487662351664307</x:v>
      </x:c>
      <x:c r="N26" s="16" t="n">
        <x:v>0.8542379540946586</x:v>
      </x:c>
      <x:c r="O26" s="16" t="n">
        <x:v>0.9487662351664307</x:v>
      </x:c>
      <x:c r="P26" s="16" t="n">
        <x:v>0.021415684949722198</x:v>
      </x:c>
      <x:c r="Q26" s="16" t="n">
        <x:v>0.02981807988384713</x:v>
      </x:c>
    </x:row>
    <x:row r="27" ht="15" hidden="0" customHeight="1">
      <x:c r="A27" s="2" t="str">
        <x:v>2024-07-01</x:v>
      </x:c>
      <x:c r="B27" s="2" t="str">
        <x:v>LINE-B</x:v>
      </x:c>
      <x:c r="C27" s="15" t="n">
        <x:v>128012</x:v>
      </x:c>
      <x:c r="D27" s="15" t="n">
        <x:v>126009.49479093621</x:v>
      </x:c>
      <x:c r="E27" s="15" t="n">
        <x:v>277493</x:v>
      </x:c>
      <x:c r="F27" s="15" t="n">
        <x:v>263098</x:v>
      </x:c>
      <x:c r="G27" s="15" t="n">
        <x:v>6043</x:v>
      </x:c>
      <x:c r="H27" s="15" t="n">
        <x:v>8352</x:v>
      </x:c>
      <x:c r="I27" s="15" t="n">
        <x:v>200304.5</x:v>
      </x:c>
      <x:c r="J27" s="15" t="n">
        <x:v>2002.5052090637896</x:v>
      </x:c>
      <x:c r="K27" s="16" t="n">
        <x:v>0.9843568945953208</x:v>
      </x:c>
      <x:c r="L27" s="16" t="n">
        <x:v>0.9063417550887725</x:v>
      </x:c>
      <x:c r="M27" s="16" t="n">
        <x:v>0.9481248175629655</x:v>
      </x:c>
      <x:c r="N27" s="16" t="n">
        <x:v>0.8458825979019569</x:v>
      </x:c>
      <x:c r="O27" s="16" t="n">
        <x:v>0.9481248175629655</x:v>
      </x:c>
      <x:c r="P27" s="16" t="n">
        <x:v>0.0217771259094824</x:v>
      </x:c>
      <x:c r="Q27" s="16" t="n">
        <x:v>0.030098056527552045</x:v>
      </x:c>
    </x:row>
    <x:row r="28" ht="15" hidden="0" customHeight="1">
      <x:c r="A28" s="2" t="str">
        <x:v>2024-07-01</x:v>
      </x:c>
      <x:c r="B28" s="2" t="str">
        <x:v>LINE-C</x:v>
      </x:c>
      <x:c r="C28" s="15" t="n">
        <x:v>128012</x:v>
      </x:c>
      <x:c r="D28" s="15" t="n">
        <x:v>125698.61586399088</x:v>
      </x:c>
      <x:c r="E28" s="15" t="n">
        <x:v>277292</x:v>
      </x:c>
      <x:c r="F28" s="15" t="n">
        <x:v>262539</x:v>
      </x:c>
      <x:c r="G28" s="15" t="n">
        <x:v>6098</x:v>
      </x:c>
      <x:c r="H28" s="15" t="n">
        <x:v>8655</x:v>
      </x:c>
      <x:c r="I28" s="15" t="n">
        <x:v>204638</x:v>
      </x:c>
      <x:c r="J28" s="15" t="n">
        <x:v>2313.3841360091196</x:v>
      </x:c>
      <x:c r="K28" s="16" t="n">
        <x:v>0.9819283806517427</x:v>
      </x:c>
      <x:c r="L28" s="16" t="n">
        <x:v>0.910834214148243</x:v>
      </x:c>
      <x:c r="M28" s="16" t="n">
        <x:v>0.9467961571195707</x:v>
      </x:c>
      <x:c r="N28" s="16" t="n">
        <x:v>0.8467898330337306</x:v>
      </x:c>
      <x:c r="O28" s="16" t="n">
        <x:v>0.9467961571195707</x:v>
      </x:c>
      <x:c r="P28" s="16" t="n">
        <x:v>0.021991258312536965</x:v>
      </x:c>
      <x:c r="Q28" s="16" t="n">
        <x:v>0.03121258456789233</x:v>
      </x:c>
    </x:row>
    <x:row r="29" ht="15" hidden="0" customHeight="1">
      <x:c r="A29" s="2" t="str">
        <x:v>2024-07-01</x:v>
      </x:c>
      <x:c r="B29" s="2" t="str">
        <x:v>LINE-D</x:v>
      </x:c>
      <x:c r="C29" s="15" t="n">
        <x:v>128012</x:v>
      </x:c>
      <x:c r="D29" s="15" t="n">
        <x:v>125821.2581335892</x:v>
      </x:c>
      <x:c r="E29" s="15" t="n">
        <x:v>278502</x:v>
      </x:c>
      <x:c r="F29" s="15" t="n">
        <x:v>264136</x:v>
      </x:c>
      <x:c r="G29" s="15" t="n">
        <x:v>6050</x:v>
      </x:c>
      <x:c r="H29" s="15" t="n">
        <x:v>8316</x:v>
      </x:c>
      <x:c r="I29" s="15" t="n">
        <x:v>199604</x:v>
      </x:c>
      <x:c r="J29" s="15" t="n">
        <x:v>2190.7418664107977</x:v>
      </x:c>
      <x:c r="K29" s="16" t="n">
        <x:v>0.9828864335655189</x:v>
      </x:c>
      <x:c r="L29" s="16" t="n">
        <x:v>0.9141054675982129</x:v>
      </x:c>
      <x:c r="M29" s="16" t="n">
        <x:v>0.9484168874909337</x:v>
      </x:c>
      <x:c r="N29" s="16" t="n">
        <x:v>0.8521164035886752</x:v>
      </x:c>
      <x:c r="O29" s="16" t="n">
        <x:v>0.9484168874909337</x:v>
      </x:c>
      <x:c r="P29" s="16" t="n">
        <x:v>0.021723362848381698</x:v>
      </x:c>
      <x:c r="Q29" s="16" t="n">
        <x:v>0.029859749660684665</x:v>
      </x:c>
    </x:row>
    <x:row r="30" ht="15" hidden="0" customHeight="1">
      <x:c r="A30" s="2" t="str">
        <x:v>2024-08-01</x:v>
      </x:c>
      <x:c r="B30" s="2" t="str">
        <x:v>LINE-A</x:v>
      </x:c>
      <x:c r="C30" s="15" t="n">
        <x:v>128063</x:v>
      </x:c>
      <x:c r="D30" s="15" t="n">
        <x:v>125855.71186419232</x:v>
      </x:c>
      <x:c r="E30" s="15" t="n">
        <x:v>275927</x:v>
      </x:c>
      <x:c r="F30" s="15" t="n">
        <x:v>263731</x:v>
      </x:c>
      <x:c r="G30" s="15" t="n">
        <x:v>5039</x:v>
      </x:c>
      <x:c r="H30" s="15" t="n">
        <x:v>7157</x:v>
      </x:c>
      <x:c r="I30" s="15" t="n">
        <x:v>170145.5</x:v>
      </x:c>
      <x:c r="J30" s="15" t="n">
        <x:v>2207.288135807684</x:v>
      </x:c>
      <x:c r="K30" s="16" t="n">
        <x:v>0.9827640447607218</x:v>
      </x:c>
      <x:c r="L30" s="16" t="n">
        <x:v>0.908694024604469</x:v>
      </x:c>
      <x:c r="M30" s="16" t="n">
        <x:v>0.9557999035976907</x:v>
      </x:c>
      <x:c r="N30" s="16" t="n">
        <x:v>0.8535597227537554</x:v>
      </x:c>
      <x:c r="O30" s="16" t="n">
        <x:v>0.9557999035976907</x:v>
      </x:c>
      <x:c r="P30" s="16" t="n">
        <x:v>0.018262076563728812</x:v>
      </x:c>
      <x:c r="Q30" s="16" t="n">
        <x:v>0.025938019838580493</x:v>
      </x:c>
    </x:row>
    <x:row r="31" ht="15" hidden="0" customHeight="1">
      <x:c r="A31" s="2" t="str">
        <x:v>2024-08-01</x:v>
      </x:c>
      <x:c r="B31" s="2" t="str">
        <x:v>LINE-B</x:v>
      </x:c>
      <x:c r="C31" s="15" t="n">
        <x:v>128063</x:v>
      </x:c>
      <x:c r="D31" s="15" t="n">
        <x:v>125970.09867314868</x:v>
      </x:c>
      <x:c r="E31" s="15" t="n">
        <x:v>277657</x:v>
      </x:c>
      <x:c r="F31" s="15" t="n">
        <x:v>265247</x:v>
      </x:c>
      <x:c r="G31" s="15" t="n">
        <x:v>5229</x:v>
      </x:c>
      <x:c r="H31" s="15" t="n">
        <x:v>7181</x:v>
      </x:c>
      <x:c r="I31" s="15" t="n">
        <x:v>170938.5</x:v>
      </x:c>
      <x:c r="J31" s="15" t="n">
        <x:v>2092.901326851324</x:v>
      </x:c>
      <x:c r="K31" s="16" t="n">
        <x:v>0.9836572520802158</x:v>
      </x:c>
      <x:c r="L31" s="16" t="n">
        <x:v>0.9081581095169208</x:v>
      </x:c>
      <x:c r="M31" s="16" t="n">
        <x:v>0.9553045664254818</x:v>
      </x:c>
      <x:c r="N31" s="16" t="n">
        <x:v>0.8533891506464999</x:v>
      </x:c>
      <x:c r="O31" s="16" t="n">
        <x:v>0.9553045664254818</x:v>
      </x:c>
      <x:c r="P31" s="16" t="n">
        <x:v>0.018832588409440423</x:v>
      </x:c>
      <x:c r="Q31" s="16" t="n">
        <x:v>0.025862845165077777</x:v>
      </x:c>
    </x:row>
    <x:row r="32" ht="15" hidden="0" customHeight="1">
      <x:c r="A32" s="2" t="str">
        <x:v>2024-08-01</x:v>
      </x:c>
      <x:c r="B32" s="2" t="str">
        <x:v>LINE-C</x:v>
      </x:c>
      <x:c r="C32" s="15" t="n">
        <x:v>128063</x:v>
      </x:c>
      <x:c r="D32" s="15" t="n">
        <x:v>126001.98520227397</x:v>
      </x:c>
      <x:c r="E32" s="15" t="n">
        <x:v>278881</x:v>
      </x:c>
      <x:c r="F32" s="15" t="n">
        <x:v>267288</x:v>
      </x:c>
      <x:c r="G32" s="15" t="n">
        <x:v>4859</x:v>
      </x:c>
      <x:c r="H32" s="15" t="n">
        <x:v>6734</x:v>
      </x:c>
      <x:c r="I32" s="15" t="n">
        <x:v>161368</x:v>
      </x:c>
      <x:c r="J32" s="15" t="n">
        <x:v>2061.0147977260353</x:v>
      </x:c>
      <x:c r="K32" s="16" t="n">
        <x:v>0.9839062430387697</x:v>
      </x:c>
      <x:c r="L32" s="16" t="n">
        <x:v>0.9143046422249617</x:v>
      </x:c>
      <x:c r="M32" s="16" t="n">
        <x:v>0.9584302982275594</x:v>
      </x:c>
      <x:c r="N32" s="16" t="n">
        <x:v>0.8621943556145601</x:v>
      </x:c>
      <x:c r="O32" s="16" t="n">
        <x:v>0.9584302982275594</x:v>
      </x:c>
      <x:c r="P32" s="16" t="n">
        <x:v>0.017423202010893535</x:v>
      </x:c>
      <x:c r="Q32" s="16" t="n">
        <x:v>0.02414649976154704</x:v>
      </x:c>
    </x:row>
    <x:row r="33" ht="15" hidden="0" customHeight="1">
      <x:c r="A33" s="2" t="str">
        <x:v>2024-08-01</x:v>
      </x:c>
      <x:c r="B33" s="2" t="str">
        <x:v>LINE-D</x:v>
      </x:c>
      <x:c r="C33" s="15" t="n">
        <x:v>128063</x:v>
      </x:c>
      <x:c r="D33" s="15" t="n">
        <x:v>126005.35394073452</x:v>
      </x:c>
      <x:c r="E33" s="15" t="n">
        <x:v>277889</x:v>
      </x:c>
      <x:c r="F33" s="15" t="n">
        <x:v>266050</x:v>
      </x:c>
      <x:c r="G33" s="15" t="n">
        <x:v>4931</x:v>
      </x:c>
      <x:c r="H33" s="15" t="n">
        <x:v>6908</x:v>
      </x:c>
      <x:c r="I33" s="15" t="n">
        <x:v>165395</x:v>
      </x:c>
      <x:c r="J33" s="15" t="n">
        <x:v>2057.6460592654807</x:v>
      </x:c>
      <x:c r="K33" s="16" t="n">
        <x:v>0.9839325483608421</x:v>
      </x:c>
      <x:c r="L33" s="16" t="n">
        <x:v>0.910763416613579</x:v>
      </x:c>
      <x:c r="M33" s="16" t="n">
        <x:v>0.9573966583779855</x:v>
      </x:c>
      <x:c r="N33" s="16" t="n">
        <x:v>0.8579516467563613</x:v>
      </x:c>
      <x:c r="O33" s="16" t="n">
        <x:v>0.9573966583779855</x:v>
      </x:c>
      <x:c r="P33" s="16" t="n">
        <x:v>0.017744495104160294</x:v>
      </x:c>
      <x:c r="Q33" s="16" t="n">
        <x:v>0.02485884651785425</x:v>
      </x:c>
    </x:row>
    <x:row r="34" ht="15" hidden="0" customHeight="1">
      <x:c r="A34" s="2" t="str">
        <x:v>2024-09-01</x:v>
      </x:c>
      <x:c r="B34" s="2" t="str">
        <x:v>LINE-A</x:v>
      </x:c>
      <x:c r="C34" s="15" t="n">
        <x:v>123905</x:v>
      </x:c>
      <x:c r="D34" s="15" t="n">
        <x:v>121967.24247557478</x:v>
      </x:c>
      <x:c r="E34" s="15" t="n">
        <x:v>270355</x:v>
      </x:c>
      <x:c r="F34" s="15" t="n">
        <x:v>258168</x:v>
      </x:c>
      <x:c r="G34" s="15" t="n">
        <x:v>5024</x:v>
      </x:c>
      <x:c r="H34" s="15" t="n">
        <x:v>7163</x:v>
      </x:c>
      <x:c r="I34" s="15" t="n">
        <x:v>167467.5</x:v>
      </x:c>
      <x:c r="J34" s="15" t="n">
        <x:v>1937.7575244252243</x:v>
      </x:c>
      <x:c r="K34" s="16" t="n">
        <x:v>0.9843609416534828</x:v>
      </x:c>
      <x:c r="L34" s="16" t="n">
        <x:v>0.9105185218528897</x:v>
      </x:c>
      <x:c r="M34" s="16" t="n">
        <x:v>0.9549222318803056</x:v>
      </x:c>
      <x:c r="N34" s="16" t="n">
        <x:v>0.8558766185112577</x:v>
      </x:c>
      <x:c r="O34" s="16" t="n">
        <x:v>0.9549222318803056</x:v>
      </x:c>
      <x:c r="P34" s="16" t="n">
        <x:v>0.01858297423757652</x:v>
      </x:c>
      <x:c r="Q34" s="16" t="n">
        <x:v>0.026494793882117958</x:v>
      </x:c>
    </x:row>
    <x:row r="35" ht="15" hidden="0" customHeight="1">
      <x:c r="A35" s="2" t="str">
        <x:v>2024-09-01</x:v>
      </x:c>
      <x:c r="B35" s="2" t="str">
        <x:v>LINE-B</x:v>
      </x:c>
      <x:c r="C35" s="15" t="n">
        <x:v>123905</x:v>
      </x:c>
      <x:c r="D35" s="15" t="n">
        <x:v>121785.40336308973</x:v>
      </x:c>
      <x:c r="E35" s="15" t="n">
        <x:v>269452</x:v>
      </x:c>
      <x:c r="F35" s="15" t="n">
        <x:v>257858</x:v>
      </x:c>
      <x:c r="G35" s="15" t="n">
        <x:v>4880</x:v>
      </x:c>
      <x:c r="H35" s="15" t="n">
        <x:v>6714</x:v>
      </x:c>
      <x:c r="I35" s="15" t="n">
        <x:v>161910.5</x:v>
      </x:c>
      <x:c r="J35" s="15" t="n">
        <x:v>2119.5966369102725</x:v>
      </x:c>
      <x:c r="K35" s="16" t="n">
        <x:v>0.9828933728508916</x:v>
      </x:c>
      <x:c r="L35" s="16" t="n">
        <x:v>0.9143712102727769</x:v>
      </x:c>
      <x:c r="M35" s="16" t="n">
        <x:v>0.9569719282098481</x:v>
      </x:c>
      <x:c r="N35" s="16" t="n">
        <x:v>0.8600588096347411</x:v>
      </x:c>
      <x:c r="O35" s="16" t="n">
        <x:v>0.9569719282098481</x:v>
      </x:c>
      <x:c r="P35" s="16" t="n">
        <x:v>0.018110832356041152</x:v>
      </x:c>
      <x:c r="Q35" s="16" t="n">
        <x:v>0.024917239434110713</x:v>
      </x:c>
    </x:row>
    <x:row r="36" ht="15" hidden="0" customHeight="1">
      <x:c r="A36" s="2" t="str">
        <x:v>2024-09-01</x:v>
      </x:c>
      <x:c r="B36" s="2" t="str">
        <x:v>LINE-C</x:v>
      </x:c>
      <x:c r="C36" s="15" t="n">
        <x:v>123905</x:v>
      </x:c>
      <x:c r="D36" s="15" t="n">
        <x:v>122040.9205557464</x:v>
      </x:c>
      <x:c r="E36" s="15" t="n">
        <x:v>267751</x:v>
      </x:c>
      <x:c r="F36" s="15" t="n">
        <x:v>255386</x:v>
      </x:c>
      <x:c r="G36" s="15" t="n">
        <x:v>5244</x:v>
      </x:c>
      <x:c r="H36" s="15" t="n">
        <x:v>7121</x:v>
      </x:c>
      <x:c r="I36" s="15" t="n">
        <x:v>174248</x:v>
      </x:c>
      <x:c r="J36" s="15" t="n">
        <x:v>1864.079444253599</x:v>
      </x:c>
      <x:c r="K36" s="16" t="n">
        <x:v>0.984955575285472</x:v>
      </x:c>
      <x:c r="L36" s="16" t="n">
        <x:v>0.9064394098000045</x:v>
      </x:c>
      <x:c r="M36" s="16" t="n">
        <x:v>0.9538190333556177</x:v>
      </x:c>
      <x:c r="N36" s="16" t="n">
        <x:v>0.8515720655436705</x:v>
      </x:c>
      <x:c r="O36" s="16" t="n">
        <x:v>0.9538190333556177</x:v>
      </x:c>
      <x:c r="P36" s="16" t="n">
        <x:v>0.01958536102572913</x:v>
      </x:c>
      <x:c r="Q36" s="16" t="n">
        <x:v>0.02659560561865315</x:v>
      </x:c>
    </x:row>
    <x:row r="37" ht="15" hidden="0" customHeight="1">
      <x:c r="A37" s="2" t="str">
        <x:v>2024-09-01</x:v>
      </x:c>
      <x:c r="B37" s="2" t="str">
        <x:v>LINE-D</x:v>
      </x:c>
      <x:c r="C37" s="15" t="n">
        <x:v>123905</x:v>
      </x:c>
      <x:c r="D37" s="15" t="n">
        <x:v>121894.98796180889</x:v>
      </x:c>
      <x:c r="E37" s="15" t="n">
        <x:v>267704</x:v>
      </x:c>
      <x:c r="F37" s="15" t="n">
        <x:v>256006</x:v>
      </x:c>
      <x:c r="G37" s="15" t="n">
        <x:v>4962</x:v>
      </x:c>
      <x:c r="H37" s="15" t="n">
        <x:v>6736</x:v>
      </x:c>
      <x:c r="I37" s="15" t="n">
        <x:v>163066</x:v>
      </x:c>
      <x:c r="J37" s="15" t="n">
        <x:v>2010.0120381911142</x:v>
      </x:c>
      <x:c r="K37" s="16" t="n">
        <x:v>0.9837777971979249</x:v>
      </x:c>
      <x:c r="L37" s="16" t="n">
        <x:v>0.912474760938066</x:v>
      </x:c>
      <x:c r="M37" s="16" t="n">
        <x:v>0.9563024833398082</x:v>
      </x:c>
      <x:c r="N37" s="16" t="n">
        <x:v>0.8584463552092477</x:v>
      </x:c>
      <x:c r="O37" s="16" t="n">
        <x:v>0.9563024833398082</x:v>
      </x:c>
      <x:c r="P37" s="16" t="n">
        <x:v>0.01853539730448555</x:v>
      </x:c>
      <x:c r="Q37" s="16" t="n">
        <x:v>0.0251621193557063</x:v>
      </x:c>
    </x:row>
    <x:row r="38" ht="15" hidden="0" customHeight="1">
      <x:c r="A38" s="2" t="str">
        <x:v>2024-10-01</x:v>
      </x:c>
      <x:c r="B38" s="2" t="str">
        <x:v>LINE-A</x:v>
      </x:c>
      <x:c r="C38" s="15" t="n">
        <x:v>128012</x:v>
      </x:c>
      <x:c r="D38" s="15" t="n">
        <x:v>125671.86283469285</x:v>
      </x:c>
      <x:c r="E38" s="15" t="n">
        <x:v>278153</x:v>
      </x:c>
      <x:c r="F38" s="15" t="n">
        <x:v>264132</x:v>
      </x:c>
      <x:c r="G38" s="15" t="n">
        <x:v>5920</x:v>
      </x:c>
      <x:c r="H38" s="15" t="n">
        <x:v>8101</x:v>
      </x:c>
      <x:c r="I38" s="15" t="n">
        <x:v>195367.5</x:v>
      </x:c>
      <x:c r="J38" s="15" t="n">
        <x:v>2340.137165307158</x:v>
      </x:c>
      <x:c r="K38" s="16" t="n">
        <x:v>0.9817193922030188</x:v>
      </x:c>
      <x:c r="L38" s="16" t="n">
        <x:v>0.9135853012514731</x:v>
      </x:c>
      <x:c r="M38" s="16" t="n">
        <x:v>0.9495924904638814</x:v>
      </x:c>
      <x:c r="N38" s="16" t="n">
        <x:v>0.8516746973881835</x:v>
      </x:c>
      <x:c r="O38" s="16" t="n">
        <x:v>0.9495924904638814</x:v>
      </x:c>
      <x:c r="P38" s="16" t="n">
        <x:v>0.021283250585109634</x:v>
      </x:c>
      <x:c r="Q38" s="16" t="n">
        <x:v>0.029124258951008977</x:v>
      </x:c>
    </x:row>
    <x:row r="39" ht="15" hidden="0" customHeight="1">
      <x:c r="A39" s="2" t="str">
        <x:v>2024-10-01</x:v>
      </x:c>
      <x:c r="B39" s="2" t="str">
        <x:v>LINE-B</x:v>
      </x:c>
      <x:c r="C39" s="15" t="n">
        <x:v>128012</x:v>
      </x:c>
      <x:c r="D39" s="15" t="n">
        <x:v>126046.2518200805</x:v>
      </x:c>
      <x:c r="E39" s="15" t="n">
        <x:v>278286</x:v>
      </x:c>
      <x:c r="F39" s="15" t="n">
        <x:v>264407</x:v>
      </x:c>
      <x:c r="G39" s="15" t="n">
        <x:v>5787</x:v>
      </x:c>
      <x:c r="H39" s="15" t="n">
        <x:v>8092</x:v>
      </x:c>
      <x:c r="I39" s="15" t="n">
        <x:v>194525</x:v>
      </x:c>
      <x:c r="J39" s="15" t="n">
        <x:v>1965.7481799195007</x:v>
      </x:c>
      <x:c r="K39" s="16" t="n">
        <x:v>0.9846440319663821</x:v>
      </x:c>
      <x:c r="L39" s="16" t="n">
        <x:v>0.9121569662442758</x:v>
      </x:c>
      <x:c r="M39" s="16" t="n">
        <x:v>0.9501268479190473</x:v>
      </x:c>
      <x:c r="N39" s="16" t="n">
        <x:v>0.8533563458249976</x:v>
      </x:c>
      <x:c r="O39" s="16" t="n">
        <x:v>0.9501268479190473</x:v>
      </x:c>
      <x:c r="P39" s="16" t="n">
        <x:v>0.020795153187727733</x:v>
      </x:c>
      <x:c r="Q39" s="16" t="n">
        <x:v>0.029077998893224957</x:v>
      </x:c>
    </x:row>
    <x:row r="40" ht="15" hidden="0" customHeight="1">
      <x:c r="A40" s="2" t="str">
        <x:v>2024-10-01</x:v>
      </x:c>
      <x:c r="B40" s="2" t="str">
        <x:v>LINE-C</x:v>
      </x:c>
      <x:c r="C40" s="15" t="n">
        <x:v>128012</x:v>
      </x:c>
      <x:c r="D40" s="15" t="n">
        <x:v>126096.58005368829</x:v>
      </x:c>
      <x:c r="E40" s="15" t="n">
        <x:v>275160</x:v>
      </x:c>
      <x:c r="F40" s="15" t="n">
        <x:v>260156</x:v>
      </x:c>
      <x:c r="G40" s="15" t="n">
        <x:v>6209</x:v>
      </x:c>
      <x:c r="H40" s="15" t="n">
        <x:v>8795</x:v>
      </x:c>
      <x:c r="I40" s="15" t="n">
        <x:v>208025.5</x:v>
      </x:c>
      <x:c r="J40" s="15" t="n">
        <x:v>1915.4199463117102</x:v>
      </x:c>
      <x:c r="K40" s="16" t="n">
        <x:v>0.9850371844333992</x:v>
      </x:c>
      <x:c r="L40" s="16" t="n">
        <x:v>0.9051995432236787</x:v>
      </x:c>
      <x:c r="M40" s="16" t="n">
        <x:v>0.9454717255415032</x:v>
      </x:c>
      <x:c r="N40" s="16" t="n">
        <x:v>0.8430347894265334</x:v>
      </x:c>
      <x:c r="O40" s="16" t="n">
        <x:v>0.9454717255415032</x:v>
      </x:c>
      <x:c r="P40" s="16" t="n">
        <x:v>0.022565053060037796</x:v>
      </x:c>
      <x:c r="Q40" s="16" t="n">
        <x:v>0.03196322139845908</x:v>
      </x:c>
    </x:row>
    <x:row r="41" ht="15" hidden="0" customHeight="1">
      <x:c r="A41" s="2" t="str">
        <x:v>2024-10-01</x:v>
      </x:c>
      <x:c r="B41" s="2" t="str">
        <x:v>LINE-D</x:v>
      </x:c>
      <x:c r="C41" s="15" t="n">
        <x:v>128012</x:v>
      </x:c>
      <x:c r="D41" s="15" t="n">
        <x:v>126159.07517748848</x:v>
      </x:c>
      <x:c r="E41" s="15" t="n">
        <x:v>277630</x:v>
      </x:c>
      <x:c r="F41" s="15" t="n">
        <x:v>262948</x:v>
      </x:c>
      <x:c r="G41" s="15" t="n">
        <x:v>6228</x:v>
      </x:c>
      <x:c r="H41" s="15" t="n">
        <x:v>8454</x:v>
      </x:c>
      <x:c r="I41" s="15" t="n">
        <x:v>206872.5</x:v>
      </x:c>
      <x:c r="J41" s="15" t="n">
        <x:v>1852.9248225115148</x:v>
      </x:c>
      <x:c r="K41" s="16" t="n">
        <x:v>0.9855253818195832</x:v>
      </x:c>
      <x:c r="L41" s="16" t="n">
        <x:v>0.9065961618093898</x:v>
      </x:c>
      <x:c r="M41" s="16" t="n">
        <x:v>0.9471166660663473</x:v>
      </x:c>
      <x:c r="N41" s="16" t="n">
        <x:v>0.8462236695535872</x:v>
      </x:c>
      <x:c r="O41" s="16" t="n">
        <x:v>0.9471166660663473</x:v>
      </x:c>
      <x:c r="P41" s="16" t="n">
        <x:v>0.02243273421460217</x:v>
      </x:c>
      <x:c r="Q41" s="16" t="n">
        <x:v>0.030450599719050536</x:v>
      </x:c>
    </x:row>
    <x:row r="42" ht="15" hidden="0" customHeight="1">
      <x:c r="A42" s="2" t="str">
        <x:v>2024-11-01</x:v>
      </x:c>
      <x:c r="B42" s="2" t="str">
        <x:v>LINE-A</x:v>
      </x:c>
      <x:c r="C42" s="15" t="n">
        <x:v>123905</x:v>
      </x:c>
      <x:c r="D42" s="15" t="n">
        <x:v>122011.6880792035</x:v>
      </x:c>
      <x:c r="E42" s="15" t="n">
        <x:v>266883</x:v>
      </x:c>
      <x:c r="F42" s="15" t="n">
        <x:v>254507</x:v>
      </x:c>
      <x:c r="G42" s="15" t="n">
        <x:v>5257</x:v>
      </x:c>
      <x:c r="H42" s="15" t="n">
        <x:v>7119</x:v>
      </x:c>
      <x:c r="I42" s="15" t="n">
        <x:v>175383</x:v>
      </x:c>
      <x:c r="J42" s="15" t="n">
        <x:v>1893.3119207965105</x:v>
      </x:c>
      <x:c r="K42" s="16" t="n">
        <x:v>0.984719648756737</x:v>
      </x:c>
      <x:c r="L42" s="16" t="n">
        <x:v>0.9044936738221419</x:v>
      </x:c>
      <x:c r="M42" s="16" t="n">
        <x:v>0.9536276195936046</x:v>
      </x:c>
      <x:c r="N42" s="16" t="n">
        <x:v>0.849370079861238</x:v>
      </x:c>
      <x:c r="O42" s="16" t="n">
        <x:v>0.9536276195936046</x:v>
      </x:c>
      <x:c r="P42" s="16" t="n">
        <x:v>0.01969777018393828</x:v>
      </x:c>
      <x:c r="Q42" s="16" t="n">
        <x:v>0.026674610222457033</x:v>
      </x:c>
    </x:row>
    <x:row r="43" ht="15" hidden="0" customHeight="1">
      <x:c r="A43" s="2" t="str">
        <x:v>2024-11-01</x:v>
      </x:c>
      <x:c r="B43" s="2" t="str">
        <x:v>LINE-B</x:v>
      </x:c>
      <x:c r="C43" s="15" t="n">
        <x:v>123905</x:v>
      </x:c>
      <x:c r="D43" s="15" t="n">
        <x:v>121528.37168481063</x:v>
      </x:c>
      <x:c r="E43" s="15" t="n">
        <x:v>268071</x:v>
      </x:c>
      <x:c r="F43" s="15" t="n">
        <x:v>256556</x:v>
      </x:c>
      <x:c r="G43" s="15" t="n">
        <x:v>4767</x:v>
      </x:c>
      <x:c r="H43" s="15" t="n">
        <x:v>6748</x:v>
      </x:c>
      <x:c r="I43" s="15" t="n">
        <x:v>160728</x:v>
      </x:c>
      <x:c r="J43" s="15" t="n">
        <x:v>2376.628315189373</x:v>
      </x:c>
      <x:c r="K43" s="16" t="n">
        <x:v>0.980818947458219</x:v>
      </x:c>
      <x:c r="L43" s="16" t="n">
        <x:v>0.91360970661205</x:v>
      </x:c>
      <x:c r="M43" s="16" t="n">
        <x:v>0.9570449619690305</x:v>
      </x:c>
      <x:c r="N43" s="16" t="n">
        <x:v>0.8575943150392678</x:v>
      </x:c>
      <x:c r="O43" s="16" t="n">
        <x:v>0.9570449619690305</x:v>
      </x:c>
      <x:c r="P43" s="16" t="n">
        <x:v>0.01778260237026758</x:v>
      </x:c>
      <x:c r="Q43" s="16" t="n">
        <x:v>0.02517243566070183</x:v>
      </x:c>
    </x:row>
    <x:row r="44" ht="15" hidden="0" customHeight="1">
      <x:c r="A44" s="2" t="str">
        <x:v>2024-11-01</x:v>
      </x:c>
      <x:c r="B44" s="2" t="str">
        <x:v>LINE-C</x:v>
      </x:c>
      <x:c r="C44" s="15" t="n">
        <x:v>123905</x:v>
      </x:c>
      <x:c r="D44" s="15" t="n">
        <x:v>122121.10321681506</x:v>
      </x:c>
      <x:c r="E44" s="15" t="n">
        <x:v>269957</x:v>
      </x:c>
      <x:c r="F44" s="15" t="n">
        <x:v>258092</x:v>
      </x:c>
      <x:c r="G44" s="15" t="n">
        <x:v>4985</x:v>
      </x:c>
      <x:c r="H44" s="15" t="n">
        <x:v>6880</x:v>
      </x:c>
      <x:c r="I44" s="15" t="n">
        <x:v>165138.5</x:v>
      </x:c>
      <x:c r="J44" s="15" t="n">
        <x:v>1783.8967831849445</x:v>
      </x:c>
      <x:c r="K44" s="16" t="n">
        <x:v>0.9856027054341233</x:v>
      </x:c>
      <x:c r="L44" s="16" t="n">
        <x:v>0.913073146760163</x:v>
      </x:c>
      <x:c r="M44" s="16" t="n">
        <x:v>0.9560485558811218</x:v>
      </x:c>
      <x:c r="N44" s="16" t="n">
        <x:v>0.8603742564690886</x:v>
      </x:c>
      <x:c r="O44" s="16" t="n">
        <x:v>0.9560485558811218</x:v>
      </x:c>
      <x:c r="P44" s="16" t="n">
        <x:v>0.01846590382912834</x:v>
      </x:c>
      <x:c r="Q44" s="16" t="n">
        <x:v>0.02548554028974985</x:v>
      </x:c>
    </x:row>
    <x:row r="45" ht="15" hidden="0" customHeight="1">
      <x:c r="A45" s="2" t="str">
        <x:v>2024-11-01</x:v>
      </x:c>
      <x:c r="B45" s="2" t="str">
        <x:v>LINE-D</x:v>
      </x:c>
      <x:c r="C45" s="15" t="n">
        <x:v>123905</x:v>
      </x:c>
      <x:c r="D45" s="15" t="n">
        <x:v>121688.8136943986</x:v>
      </x:c>
      <x:c r="E45" s="15" t="n">
        <x:v>270450</x:v>
      </x:c>
      <x:c r="F45" s="15" t="n">
        <x:v>259106</x:v>
      </x:c>
      <x:c r="G45" s="15" t="n">
        <x:v>4752</x:v>
      </x:c>
      <x:c r="H45" s="15" t="n">
        <x:v>6592</x:v>
      </x:c>
      <x:c r="I45" s="15" t="n">
        <x:v>157260.5</x:v>
      </x:c>
      <x:c r="J45" s="15" t="n">
        <x:v>2216.186305601402</x:v>
      </x:c>
      <x:c r="K45" s="16" t="n">
        <x:v>0.9821138266768783</x:v>
      </x:c>
      <x:c r="L45" s="16" t="n">
        <x:v>0.9147710181443243</x:v>
      </x:c>
      <x:c r="M45" s="16" t="n">
        <x:v>0.9580550933629136</x:v>
      </x:c>
      <x:c r="N45" s="16" t="n">
        <x:v>0.8607255724136782</x:v>
      </x:c>
      <x:c r="O45" s="16" t="n">
        <x:v>0.9580550933629136</x:v>
      </x:c>
      <x:c r="P45" s="16" t="n">
        <x:v>0.01757071547420965</x:v>
      </x:c>
      <x:c r="Q45" s="16" t="n">
        <x:v>0.024374191162876688</x:v>
      </x:c>
    </x:row>
    <x:row r="46" ht="15" hidden="0" customHeight="1">
      <x:c r="A46" s="2" t="str">
        <x:v>2024-12-01</x:v>
      </x:c>
      <x:c r="B46" s="2" t="str">
        <x:v>LINE-A</x:v>
      </x:c>
      <x:c r="C46" s="15" t="n">
        <x:v>128063</x:v>
      </x:c>
      <x:c r="D46" s="15" t="n">
        <x:v>126145.14498143565</x:v>
      </x:c>
      <x:c r="E46" s="15" t="n">
        <x:v>276212</x:v>
      </x:c>
      <x:c r="F46" s="15" t="n">
        <x:v>260811</x:v>
      </x:c>
      <x:c r="G46" s="15" t="n">
        <x:v>6568</x:v>
      </x:c>
      <x:c r="H46" s="15" t="n">
        <x:v>8833</x:v>
      </x:c>
      <x:c r="I46" s="15" t="n">
        <x:v>214496.5</x:v>
      </x:c>
      <x:c r="J46" s="15" t="n">
        <x:v>1917.8550185643498</x:v>
      </x:c>
      <x:c r="K46" s="16" t="n">
        <x:v>0.9850241286041687</x:v>
      </x:c>
      <x:c r="L46" s="16" t="n">
        <x:v>0.9041801279797083</x:v>
      </x:c>
      <x:c r="M46" s="16" t="n">
        <x:v>0.944242103891214</x:v>
      </x:c>
      <x:c r="N46" s="16" t="n">
        <x:v>0.8409790723015274</x:v>
      </x:c>
      <x:c r="O46" s="16" t="n">
        <x:v>0.944242103891214</x:v>
      </x:c>
      <x:c r="P46" s="16" t="n">
        <x:v>0.0237788365458416</x:v>
      </x:c>
      <x:c r="Q46" s="16" t="n">
        <x:v>0.031979059562944404</x:v>
      </x:c>
    </x:row>
    <x:row r="47" ht="15" hidden="0" customHeight="1">
      <x:c r="A47" s="2" t="str">
        <x:v>2024-12-01</x:v>
      </x:c>
      <x:c r="B47" s="2" t="str">
        <x:v>LINE-B</x:v>
      </x:c>
      <x:c r="C47" s="15" t="n">
        <x:v>128063</x:v>
      </x:c>
      <x:c r="D47" s="15" t="n">
        <x:v>126172.74972624237</x:v>
      </x:c>
      <x:c r="E47" s="15" t="n">
        <x:v>277296</x:v>
      </x:c>
      <x:c r="F47" s="15" t="n">
        <x:v>263176</x:v>
      </x:c>
      <x:c r="G47" s="15" t="n">
        <x:v>5865</x:v>
      </x:c>
      <x:c r="H47" s="15" t="n">
        <x:v>8255</x:v>
      </x:c>
      <x:c r="I47" s="15" t="n">
        <x:v>196425</x:v>
      </x:c>
      <x:c r="J47" s="15" t="n">
        <x:v>1890.250273757629</x:v>
      </x:c>
      <x:c r="K47" s="16" t="n">
        <x:v>0.9852396845790148</x:v>
      </x:c>
      <x:c r="L47" s="16" t="n">
        <x:v>0.9088851085685901</x:v>
      </x:c>
      <x:c r="M47" s="16" t="n">
        <x:v>0.949079683803589</x:v>
      </x:c>
      <x:c r="N47" s="16" t="n">
        <x:v>0.8498720785526791</x:v>
      </x:c>
      <x:c r="O47" s="16" t="n">
        <x:v>0.949079683803589</x:v>
      </x:c>
      <x:c r="P47" s="16" t="n">
        <x:v>0.021150683745888868</x:v>
      </x:c>
      <x:c r="Q47" s="16" t="n">
        <x:v>0.029769632450522186</x:v>
      </x:c>
    </x:row>
    <x:row r="48" ht="15" hidden="0" customHeight="1">
      <x:c r="A48" s="2" t="str">
        <x:v>2024-12-01</x:v>
      </x:c>
      <x:c r="B48" s="2" t="str">
        <x:v>LINE-C</x:v>
      </x:c>
      <x:c r="C48" s="15" t="n">
        <x:v>128063</x:v>
      </x:c>
      <x:c r="D48" s="15" t="n">
        <x:v>126039.54087624607</x:v>
      </x:c>
      <x:c r="E48" s="15" t="n">
        <x:v>277499</x:v>
      </x:c>
      <x:c r="F48" s="15" t="n">
        <x:v>262277</x:v>
      </x:c>
      <x:c r="G48" s="15" t="n">
        <x:v>6502</x:v>
      </x:c>
      <x:c r="H48" s="15" t="n">
        <x:v>8720</x:v>
      </x:c>
      <x:c r="I48" s="15" t="n">
        <x:v>210677</x:v>
      </x:c>
      <x:c r="J48" s="15" t="n">
        <x:v>2023.4591237539316</x:v>
      </x:c>
      <x:c r="K48" s="16" t="n">
        <x:v>0.9841995024030834</x:v>
      </x:c>
      <x:c r="L48" s="16" t="n">
        <x:v>0.909021876813206</x:v>
      </x:c>
      <x:c r="M48" s="16" t="n">
        <x:v>0.9451457482729667</x:v>
      </x:c>
      <x:c r="N48" s="16" t="n">
        <x:v>0.8455830354837396</x:v>
      </x:c>
      <x:c r="O48" s="16" t="n">
        <x:v>0.9451457482729667</x:v>
      </x:c>
      <x:c r="P48" s="16" t="n">
        <x:v>0.023430715065639877</x:v>
      </x:c>
      <x:c r="Q48" s="16" t="n">
        <x:v>0.03142353666139337</x:v>
      </x:c>
    </x:row>
    <x:row r="49" ht="15" hidden="0" customHeight="1">
      <x:c r="A49" s="2" t="str">
        <x:v>2024-12-01</x:v>
      </x:c>
      <x:c r="B49" s="2" t="str">
        <x:v>LINE-D</x:v>
      </x:c>
      <x:c r="C49" s="15" t="n">
        <x:v>128063</x:v>
      </x:c>
      <x:c r="D49" s="15" t="n">
        <x:v>125800.38150578483</x:v>
      </x:c>
      <x:c r="E49" s="15" t="n">
        <x:v>278234</x:v>
      </x:c>
      <x:c r="F49" s="15" t="n">
        <x:v>264176</x:v>
      </x:c>
      <x:c r="G49" s="15" t="n">
        <x:v>5910</x:v>
      </x:c>
      <x:c r="H49" s="15" t="n">
        <x:v>8148</x:v>
      </x:c>
      <x:c r="I49" s="15" t="n">
        <x:v>195408.5</x:v>
      </x:c>
      <x:c r="J49" s="15" t="n">
        <x:v>2262.618494215179</x:v>
      </x:c>
      <x:c r="K49" s="16" t="n">
        <x:v>0.9823319889881139</x:v>
      </x:c>
      <x:c r="L49" s="16" t="n">
        <x:v>0.9147987625780084</x:v>
      </x:c>
      <x:c r="M49" s="16" t="n">
        <x:v>0.949474183600854</x:v>
      </x:c>
      <x:c r="N49" s="16" t="n">
        <x:v>0.8532317659768468</x:v>
      </x:c>
      <x:c r="O49" s="16" t="n">
        <x:v>0.949474183600854</x:v>
      </x:c>
      <x:c r="P49" s="16" t="n">
        <x:v>0.02124111359503152</x:v>
      </x:c>
      <x:c r="Q49" s="16" t="n">
        <x:v>0.02928470280411452</x:v>
      </x:c>
    </x:row>
    <x:row r="50" ht="15" hidden="0" customHeight="1">
      <x:c r="A50" s="2" t="str">
        <x:v>2025-01-01</x:v>
      </x:c>
      <x:c r="B50" s="2" t="str">
        <x:v>LINE-A</x:v>
      </x:c>
      <x:c r="C50" s="15" t="n">
        <x:v>128012</x:v>
      </x:c>
      <x:c r="D50" s="15" t="n">
        <x:v>125739.84829853362</x:v>
      </x:c>
      <x:c r="E50" s="15" t="n">
        <x:v>273970</x:v>
      </x:c>
      <x:c r="F50" s="15" t="n">
        <x:v>260808</x:v>
      </x:c>
      <x:c r="G50" s="15" t="n">
        <x:v>5493</x:v>
      </x:c>
      <x:c r="H50" s="15" t="n">
        <x:v>7669</x:v>
      </x:c>
      <x:c r="I50" s="15" t="n">
        <x:v>183926.5</x:v>
      </x:c>
      <x:c r="J50" s="15" t="n">
        <x:v>2272.1517014663777</x:v>
      </x:c>
      <x:c r="K50" s="16" t="n">
        <x:v>0.9822504788499017</x:v>
      </x:c>
      <x:c r="L50" s="16" t="n">
        <x:v>0.9020327939109609</x:v>
      </x:c>
      <x:c r="M50" s="16" t="n">
        <x:v>0.9519582436033143</x:v>
      </x:c>
      <x:c r="N50" s="16" t="n">
        <x:v>0.8434560837648958</x:v>
      </x:c>
      <x:c r="O50" s="16" t="n">
        <x:v>0.9519582436033143</x:v>
      </x:c>
      <x:c r="P50" s="16" t="n">
        <x:v>0.02004964047158448</x:v>
      </x:c>
      <x:c r="Q50" s="16" t="n">
        <x:v>0.02799211592510129</x:v>
      </x:c>
    </x:row>
    <x:row r="51" ht="15" hidden="0" customHeight="1">
      <x:c r="A51" s="2" t="str">
        <x:v>2025-01-01</x:v>
      </x:c>
      <x:c r="B51" s="2" t="str">
        <x:v>LINE-B</x:v>
      </x:c>
      <x:c r="C51" s="15" t="n">
        <x:v>128012</x:v>
      </x:c>
      <x:c r="D51" s="15" t="n">
        <x:v>125879.95407794713</x:v>
      </x:c>
      <x:c r="E51" s="15" t="n">
        <x:v>277407</x:v>
      </x:c>
      <x:c r="F51" s="15" t="n">
        <x:v>265116</x:v>
      </x:c>
      <x:c r="G51" s="15" t="n">
        <x:v>5082</x:v>
      </x:c>
      <x:c r="H51" s="15" t="n">
        <x:v>7209</x:v>
      </x:c>
      <x:c r="I51" s="15" t="n">
        <x:v>169967</x:v>
      </x:c>
      <x:c r="J51" s="15" t="n">
        <x:v>2132.045922052865</x:v>
      </x:c>
      <x:c r="K51" s="16" t="n">
        <x:v>0.9833449526446515</x:v>
      </x:c>
      <x:c r="L51" s="16" t="n">
        <x:v>0.9074113574054047</x:v>
      </x:c>
      <x:c r="M51" s="16" t="n">
        <x:v>0.9556932593625972</x:v>
      </x:c>
      <x:c r="N51" s="16" t="n">
        <x:v>0.8527635454595408</x:v>
      </x:c>
      <x:c r="O51" s="16" t="n">
        <x:v>0.9556932593625972</x:v>
      </x:c>
      <x:c r="P51" s="16" t="n">
        <x:v>0.018319653072921736</x:v>
      </x:c>
      <x:c r="Q51" s="16" t="n">
        <x:v>0.02598708756448107</x:v>
      </x:c>
    </x:row>
    <x:row r="52" ht="15" hidden="0" customHeight="1">
      <x:c r="A52" s="2" t="str">
        <x:v>2025-01-01</x:v>
      </x:c>
      <x:c r="B52" s="2" t="str">
        <x:v>LINE-C</x:v>
      </x:c>
      <x:c r="C52" s="15" t="n">
        <x:v>128012</x:v>
      </x:c>
      <x:c r="D52" s="15" t="n">
        <x:v>126059.55597448818</x:v>
      </x:c>
      <x:c r="E52" s="15" t="n">
        <x:v>279075</x:v>
      </x:c>
      <x:c r="F52" s="15" t="n">
        <x:v>267174</x:v>
      </x:c>
      <x:c r="G52" s="15" t="n">
        <x:v>4969</x:v>
      </x:c>
      <x:c r="H52" s="15" t="n">
        <x:v>6932</x:v>
      </x:c>
      <x:c r="I52" s="15" t="n">
        <x:v>165562.5</x:v>
      </x:c>
      <x:c r="J52" s="15" t="n">
        <x:v>1952.4440255118313</x:v>
      </x:c>
      <x:c r="K52" s="16" t="n">
        <x:v>0.9847479609293518</x:v>
      </x:c>
      <x:c r="L52" s="16" t="n">
        <x:v>0.9141483360186904</x:v>
      </x:c>
      <x:c r="M52" s="16" t="n">
        <x:v>0.9573555495834453</x:v>
      </x:c>
      <x:c r="N52" s="16" t="n">
        <x:v>0.8618169321216299</x:v>
      </x:c>
      <x:c r="O52" s="16" t="n">
        <x:v>0.9573555495834453</x:v>
      </x:c>
      <x:c r="P52" s="16" t="n">
        <x:v>0.017805249484905493</x:v>
      </x:c>
      <x:c r="Q52" s="16" t="n">
        <x:v>0.024839200931649198</x:v>
      </x:c>
    </x:row>
    <x:row r="53" ht="15" hidden="0" customHeight="1">
      <x:c r="A53" s="2" t="str">
        <x:v>2025-01-01</x:v>
      </x:c>
      <x:c r="B53" s="2" t="str">
        <x:v>LINE-D</x:v>
      </x:c>
      <x:c r="C53" s="15" t="n">
        <x:v>128012</x:v>
      </x:c>
      <x:c r="D53" s="15" t="n">
        <x:v>125915.53525118637</x:v>
      </x:c>
      <x:c r="E53" s="15" t="n">
        <x:v>275233</x:v>
      </x:c>
      <x:c r="F53" s="15" t="n">
        <x:v>262552</x:v>
      </x:c>
      <x:c r="G53" s="15" t="n">
        <x:v>5303</x:v>
      </x:c>
      <x:c r="H53" s="15" t="n">
        <x:v>7378</x:v>
      </x:c>
      <x:c r="I53" s="15" t="n">
        <x:v>176278.5</x:v>
      </x:c>
      <x:c r="J53" s="15" t="n">
        <x:v>2096.464748813629</x:v>
      </x:c>
      <x:c r="K53" s="16" t="n">
        <x:v>0.9836229045025965</x:v>
      </x:c>
      <x:c r="L53" s="16" t="n">
        <x:v>0.9023106887222866</x:v>
      </x:c>
      <x:c r="M53" s="16" t="n">
        <x:v>0.9539263097085016</x:v>
      </x:c>
      <x:c r="N53" s="16" t="n">
        <x:v>0.8466415186267232</x:v>
      </x:c>
      <x:c r="O53" s="16" t="n">
        <x:v>0.9539263097085016</x:v>
      </x:c>
      <x:c r="P53" s="16" t="n">
        <x:v>0.01926731169590856</x:v>
      </x:c>
      <x:c r="Q53" s="16" t="n">
        <x:v>0.02680637859558992</x:v>
      </x:c>
    </x:row>
    <x:row r="54" ht="15" hidden="0" customHeight="1">
      <x:c r="A54" s="2" t="str">
        <x:v>2025-02-01</x:v>
      </x:c>
      <x:c r="B54" s="2" t="str">
        <x:v>LINE-A</x:v>
      </x:c>
      <x:c r="C54" s="15" t="n">
        <x:v>115640</x:v>
      </x:c>
      <x:c r="D54" s="15" t="n">
        <x:v>113519.94494748181</x:v>
      </x:c>
      <x:c r="E54" s="15" t="n">
        <x:v>251555</x:v>
      </x:c>
      <x:c r="F54" s="15" t="n">
        <x:v>238681</x:v>
      </x:c>
      <x:c r="G54" s="15" t="n">
        <x:v>5409</x:v>
      </x:c>
      <x:c r="H54" s="15" t="n">
        <x:v>7465</x:v>
      </x:c>
      <x:c r="I54" s="15" t="n">
        <x:v>179284.5</x:v>
      </x:c>
      <x:c r="J54" s="15" t="n">
        <x:v>2120.055052518185</x:v>
      </x:c>
      <x:c r="K54" s="16" t="n">
        <x:v>0.981666767100327</x:v>
      </x:c>
      <x:c r="L54" s="16" t="n">
        <x:v>0.912967614468812</x:v>
      </x:c>
      <x:c r="M54" s="16" t="n">
        <x:v>0.9488223251376439</x:v>
      </x:c>
      <x:c r="N54" s="16" t="n">
        <x:v>0.8503630007322402</x:v>
      </x:c>
      <x:c r="O54" s="16" t="n">
        <x:v>0.9488223251376439</x:v>
      </x:c>
      <x:c r="P54" s="16" t="n">
        <x:v>0.021502255967879788</x:v>
      </x:c>
      <x:c r="Q54" s="16" t="n">
        <x:v>0.029675418894476356</x:v>
      </x:c>
    </x:row>
    <x:row r="55" ht="15" hidden="0" customHeight="1">
      <x:c r="A55" s="2" t="str">
        <x:v>2025-02-01</x:v>
      </x:c>
      <x:c r="B55" s="2" t="str">
        <x:v>LINE-B</x:v>
      </x:c>
      <x:c r="C55" s="15" t="n">
        <x:v>115640</x:v>
      </x:c>
      <x:c r="D55" s="15" t="n">
        <x:v>113865.77356813091</x:v>
      </x:c>
      <x:c r="E55" s="15" t="n">
        <x:v>249667</x:v>
      </x:c>
      <x:c r="F55" s="15" t="n">
        <x:v>235767</x:v>
      </x:c>
      <x:c r="G55" s="15" t="n">
        <x:v>5843</x:v>
      </x:c>
      <x:c r="H55" s="15" t="n">
        <x:v>8057</x:v>
      </x:c>
      <x:c r="I55" s="15" t="n">
        <x:v>194238</x:v>
      </x:c>
      <x:c r="J55" s="15" t="n">
        <x:v>1774.2264318690939</x:v>
      </x:c>
      <x:c r="K55" s="16" t="n">
        <x:v>0.9846573293681331</x:v>
      </x:c>
      <x:c r="L55" s="16" t="n">
        <x:v>0.9028267533365174</x:v>
      </x:c>
      <x:c r="M55" s="16" t="n">
        <x:v>0.9443258420215728</x:v>
      </x:c>
      <x:c r="N55" s="16" t="n">
        <x:v>0.8394820463569339</x:v>
      </x:c>
      <x:c r="O55" s="16" t="n">
        <x:v>0.9443258420215728</x:v>
      </x:c>
      <x:c r="P55" s="16" t="n">
        <x:v>0.02340317302647126</x:v>
      </x:c>
      <x:c r="Q55" s="16" t="n">
        <x:v>0.032270984951956</x:v>
      </x:c>
    </x:row>
    <x:row r="56" ht="15" hidden="0" customHeight="1">
      <x:c r="A56" s="2" t="str">
        <x:v>2025-02-01</x:v>
      </x:c>
      <x:c r="B56" s="2" t="str">
        <x:v>LINE-C</x:v>
      </x:c>
      <x:c r="C56" s="15" t="n">
        <x:v>115640</x:v>
      </x:c>
      <x:c r="D56" s="15" t="n">
        <x:v>113610.73532039093</x:v>
      </x:c>
      <x:c r="E56" s="15" t="n">
        <x:v>250934</x:v>
      </x:c>
      <x:c r="F56" s="15" t="n">
        <x:v>238760</x:v>
      </x:c>
      <x:c r="G56" s="15" t="n">
        <x:v>5134</x:v>
      </x:c>
      <x:c r="H56" s="15" t="n">
        <x:v>7040</x:v>
      </x:c>
      <x:c r="I56" s="15" t="n">
        <x:v>169830.5</x:v>
      </x:c>
      <x:c r="J56" s="15" t="n">
        <x:v>2029.2646796090687</x:v>
      </x:c>
      <x:c r="K56" s="16" t="n">
        <x:v>0.9824518792839063</x:v>
      </x:c>
      <x:c r="L56" s="16" t="n">
        <x:v>0.9154974047128228</x:v>
      </x:c>
      <x:c r="M56" s="16" t="n">
        <x:v>0.9514852511018833</x:v>
      </x:c>
      <x:c r="N56" s="16" t="n">
        <x:v>0.8557964210381982</x:v>
      </x:c>
      <x:c r="O56" s="16" t="n">
        <x:v>0.9514852511018833</x:v>
      </x:c>
      <x:c r="P56" s="16" t="n">
        <x:v>0.02045956307236166</x:v>
      </x:c>
      <x:c r="Q56" s="16" t="n">
        <x:v>0.028055185825754978</x:v>
      </x:c>
    </x:row>
    <x:row r="57" ht="15" hidden="0" customHeight="1">
      <x:c r="A57" s="2" t="str">
        <x:v>2025-02-01</x:v>
      </x:c>
      <x:c r="B57" s="2" t="str">
        <x:v>LINE-D</x:v>
      </x:c>
      <x:c r="C57" s="15" t="n">
        <x:v>115640</x:v>
      </x:c>
      <x:c r="D57" s="15" t="n">
        <x:v>113917.183127572</x:v>
      </x:c>
      <x:c r="E57" s="15" t="n">
        <x:v>247782</x:v>
      </x:c>
      <x:c r="F57" s="15" t="n">
        <x:v>233331</x:v>
      </x:c>
      <x:c r="G57" s="15" t="n">
        <x:v>5978</x:v>
      </x:c>
      <x:c r="H57" s="15" t="n">
        <x:v>8473</x:v>
      </x:c>
      <x:c r="I57" s="15" t="n">
        <x:v>199035.5</x:v>
      </x:c>
      <x:c r="J57" s="15" t="n">
        <x:v>1722.8168724279953</x:v>
      </x:c>
      <x:c r="K57" s="16" t="n">
        <x:v>0.9851018949115531</x:v>
      </x:c>
      <x:c r="L57" s="16" t="n">
        <x:v>0.9011733832846696</x:v>
      </x:c>
      <x:c r="M57" s="16" t="n">
        <x:v>0.9416785722933869</x:v>
      </x:c>
      <x:c r="N57" s="16" t="n">
        <x:v>0.8359728996040279</x:v>
      </x:c>
      <x:c r="O57" s="16" t="n">
        <x:v>0.9416785722933869</x:v>
      </x:c>
      <x:c r="P57" s="16" t="n">
        <x:v>0.0241260462826194</x:v>
      </x:c>
      <x:c r="Q57" s="16" t="n">
        <x:v>0.03419538142399367</x:v>
      </x:c>
    </x:row>
    <x:row r="58" ht="15" hidden="0" customHeight="1">
      <x:c r="A58" s="2" t="str">
        <x:v>2025-03-01</x:v>
      </x:c>
      <x:c r="B58" s="2" t="str">
        <x:v>LINE-A</x:v>
      </x:c>
      <x:c r="C58" s="15" t="n">
        <x:v>128063</x:v>
      </x:c>
      <x:c r="D58" s="15" t="n">
        <x:v>125984.67378004012</x:v>
      </x:c>
      <x:c r="E58" s="15" t="n">
        <x:v>277445</x:v>
      </x:c>
      <x:c r="F58" s="15" t="n">
        <x:v>264996</x:v>
      </x:c>
      <x:c r="G58" s="15" t="n">
        <x:v>5210</x:v>
      </x:c>
      <x:c r="H58" s="15" t="n">
        <x:v>7239</x:v>
      </x:c>
      <x:c r="I58" s="15" t="n">
        <x:v>172503.5</x:v>
      </x:c>
      <x:c r="J58" s="15" t="n">
        <x:v>2078.3262199598885</x:v>
      </x:c>
      <x:c r="K58" s="16" t="n">
        <x:v>0.9837710640859586</x:v>
      </x:c>
      <x:c r="L58" s="16" t="n">
        <x:v>0.9100673113105141</x:v>
      </x:c>
      <x:c r="M58" s="16" t="n">
        <x:v>0.9551298455549748</x:v>
      </x:c>
      <x:c r="N58" s="16" t="n">
        <x:v>0.8551257327631273</x:v>
      </x:c>
      <x:c r="O58" s="16" t="n">
        <x:v>0.9551298455549748</x:v>
      </x:c>
      <x:c r="P58" s="16" t="n">
        <x:v>0.01877849663897349</x:v>
      </x:c>
      <x:c r="Q58" s="16" t="n">
        <x:v>0.02609165780605165</x:v>
      </x:c>
    </x:row>
    <x:row r="59" ht="15" hidden="0" customHeight="1">
      <x:c r="A59" s="2" t="str">
        <x:v>2025-03-01</x:v>
      </x:c>
      <x:c r="B59" s="2" t="str">
        <x:v>LINE-B</x:v>
      </x:c>
      <x:c r="C59" s="15" t="n">
        <x:v>128063</x:v>
      </x:c>
      <x:c r="D59" s="15" t="n">
        <x:v>125967.39850825905</x:v>
      </x:c>
      <x:c r="E59" s="15" t="n">
        <x:v>277760</x:v>
      </x:c>
      <x:c r="F59" s="15" t="n">
        <x:v>265947</x:v>
      </x:c>
      <x:c r="G59" s="15" t="n">
        <x:v>4933</x:v>
      </x:c>
      <x:c r="H59" s="15" t="n">
        <x:v>6880</x:v>
      </x:c>
      <x:c r="I59" s="15" t="n">
        <x:v>164423</x:v>
      </x:c>
      <x:c r="J59" s="15" t="n">
        <x:v>2095.601491740941</x:v>
      </x:c>
      <x:c r="K59" s="16" t="n">
        <x:v>0.983636167419622</x:v>
      </x:c>
      <x:c r="L59" s="16" t="n">
        <x:v>0.9112201624597933</x:v>
      </x:c>
      <x:c r="M59" s="16" t="n">
        <x:v>0.957470478110599</x:v>
      </x:c>
      <x:c r="N59" s="16" t="n">
        <x:v>0.8581895104372816</x:v>
      </x:c>
      <x:c r="O59" s="16" t="n">
        <x:v>0.957470478110599</x:v>
      </x:c>
      <x:c r="P59" s="16" t="n">
        <x:v>0.0177599366359447</x:v>
      </x:c>
      <x:c r="Q59" s="16" t="n">
        <x:v>0.02476958525345622</x:v>
      </x:c>
    </x:row>
    <x:row r="60" ht="15" hidden="0" customHeight="1">
      <x:c r="A60" s="2" t="str">
        <x:v>2025-03-01</x:v>
      </x:c>
      <x:c r="B60" s="2" t="str">
        <x:v>LINE-C</x:v>
      </x:c>
      <x:c r="C60" s="15" t="n">
        <x:v>128063</x:v>
      </x:c>
      <x:c r="D60" s="15" t="n">
        <x:v>125780.28473517369</x:v>
      </x:c>
      <x:c r="E60" s="15" t="n">
        <x:v>277646</x:v>
      </x:c>
      <x:c r="F60" s="15" t="n">
        <x:v>265674</x:v>
      </x:c>
      <x:c r="G60" s="15" t="n">
        <x:v>5051</x:v>
      </x:c>
      <x:c r="H60" s="15" t="n">
        <x:v>6921</x:v>
      </x:c>
      <x:c r="I60" s="15" t="n">
        <x:v>168963.5</x:v>
      </x:c>
      <x:c r="J60" s="15" t="n">
        <x:v>2282.7152648263123</x:v>
      </x:c>
      <x:c r="K60" s="16" t="n">
        <x:v>0.9821750602060992</x:v>
      </x:c>
      <x:c r="L60" s="16" t="n">
        <x:v>0.9123154733001689</x:v>
      </x:c>
      <x:c r="M60" s="16" t="n">
        <x:v>0.9568803440352103</x:v>
      </x:c>
      <x:c r="N60" s="16" t="n">
        <x:v>0.8574159860575469</x:v>
      </x:c>
      <x:c r="O60" s="16" t="n">
        <x:v>0.9568803440352103</x:v>
      </x:c>
      <x:c r="P60" s="16" t="n">
        <x:v>0.018192230394098962</x:v>
      </x:c>
      <x:c r="Q60" s="16" t="n">
        <x:v>0.024927425570690737</x:v>
      </x:c>
    </x:row>
    <x:row r="61" ht="15" hidden="0" customHeight="1">
      <x:c r="A61" s="2" t="str">
        <x:v>2025-03-01</x:v>
      </x:c>
      <x:c r="B61" s="2" t="str">
        <x:v>LINE-D</x:v>
      </x:c>
      <x:c r="C61" s="15" t="n">
        <x:v>128063</x:v>
      </x:c>
      <x:c r="D61" s="15" t="n">
        <x:v>125948.09419344117</x:v>
      </x:c>
      <x:c r="E61" s="15" t="n">
        <x:v>278263</x:v>
      </x:c>
      <x:c r="F61" s="15" t="n">
        <x:v>266595</x:v>
      </x:c>
      <x:c r="G61" s="15" t="n">
        <x:v>4870</x:v>
      </x:c>
      <x:c r="H61" s="15" t="n">
        <x:v>6798</x:v>
      </x:c>
      <x:c r="I61" s="15" t="n">
        <x:v>160795</x:v>
      </x:c>
      <x:c r="J61" s="15" t="n">
        <x:v>2114.9058065588283</x:v>
      </x:c>
      <x:c r="K61" s="16" t="n">
        <x:v>0.9834854266528285</x:v>
      </x:c>
      <x:c r="L61" s="16" t="n">
        <x:v>0.9121606860009376</x:v>
      </x:c>
      <x:c r="M61" s="16" t="n">
        <x:v>0.95806844603846</x:v>
      </x:c>
      <x:c r="N61" s="16" t="n">
        <x:v>0.8594800810248383</x:v>
      </x:c>
      <x:c r="O61" s="16" t="n">
        <x:v>0.95806844603846</x:v>
      </x:c>
      <x:c r="P61" s="16" t="n">
        <x:v>0.01750142850468801</x:v>
      </x:c>
      <x:c r="Q61" s="16" t="n">
        <x:v>0.02443012545685197</x:v>
      </x:c>
    </x:row>
    <x:row r="62" ht="15" hidden="0" customHeight="1">
      <x:c r="A62" s="2" t="str">
        <x:v>2025-04-01</x:v>
      </x:c>
      <x:c r="B62" s="2" t="str">
        <x:v>LINE-A</x:v>
      </x:c>
      <x:c r="C62" s="15" t="n">
        <x:v>123905</x:v>
      </x:c>
      <x:c r="D62" s="15" t="n">
        <x:v>121812.21971925373</x:v>
      </x:c>
      <x:c r="E62" s="15" t="n">
        <x:v>268622</x:v>
      </x:c>
      <x:c r="F62" s="15" t="n">
        <x:v>256778</x:v>
      </x:c>
      <x:c r="G62" s="15" t="n">
        <x:v>4990</x:v>
      </x:c>
      <x:c r="H62" s="15" t="n">
        <x:v>6854</x:v>
      </x:c>
      <x:c r="I62" s="15" t="n">
        <x:v>167609.5</x:v>
      </x:c>
      <x:c r="J62" s="15" t="n">
        <x:v>2092.7802807462726</x:v>
      </x:c>
      <x:c r="K62" s="16" t="n">
        <x:v>0.9831097995985127</x:v>
      </x:c>
      <x:c r="L62" s="16" t="n">
        <x:v>0.9111890984539942</x:v>
      </x:c>
      <x:c r="M62" s="16" t="n">
        <x:v>0.9559083023728511</x:v>
      </x:c>
      <x:c r="N62" s="16" t="n">
        <x:v>0.8563016363339828</x:v>
      </x:c>
      <x:c r="O62" s="16" t="n">
        <x:v>0.9559083023728511</x:v>
      </x:c>
      <x:c r="P62" s="16" t="n">
        <x:v>0.018576289358280408</x:v>
      </x:c>
      <x:c r="Q62" s="16" t="n">
        <x:v>0.02551540826886852</x:v>
      </x:c>
    </x:row>
    <x:row r="63" ht="15" hidden="0" customHeight="1">
      <x:c r="A63" s="2" t="str">
        <x:v>2025-04-01</x:v>
      </x:c>
      <x:c r="B63" s="2" t="str">
        <x:v>LINE-B</x:v>
      </x:c>
      <x:c r="C63" s="15" t="n">
        <x:v>123905</x:v>
      </x:c>
      <x:c r="D63" s="15" t="n">
        <x:v>121434.17830394048</x:v>
      </x:c>
      <x:c r="E63" s="15" t="n">
        <x:v>267538</x:v>
      </x:c>
      <x:c r="F63" s="15" t="n">
        <x:v>256219</x:v>
      </x:c>
      <x:c r="G63" s="15" t="n">
        <x:v>4846</x:v>
      </x:c>
      <x:c r="H63" s="15" t="n">
        <x:v>6473</x:v>
      </x:c>
      <x:c r="I63" s="15" t="n">
        <x:v>160906.5</x:v>
      </x:c>
      <x:c r="J63" s="15" t="n">
        <x:v>2470.8216960595155</x:v>
      </x:c>
      <x:c r="K63" s="16" t="n">
        <x:v>0.9800587410027076</x:v>
      </x:c>
      <x:c r="L63" s="16" t="n">
        <x:v>0.9142692352679317</x:v>
      </x:c>
      <x:c r="M63" s="16" t="n">
        <x:v>0.9576919914180415</x:v>
      </x:c>
      <x:c r="N63" s="16" t="n">
        <x:v>0.8581279910598225</x:v>
      </x:c>
      <x:c r="O63" s="16" t="n">
        <x:v>0.9576919914180415</x:v>
      </x:c>
      <x:c r="P63" s="16" t="n">
        <x:v>0.01811331474407374</x:v>
      </x:c>
      <x:c r="Q63" s="16" t="n">
        <x:v>0.024194693837884713</x:v>
      </x:c>
    </x:row>
    <x:row r="64" ht="15" hidden="0" customHeight="1">
      <x:c r="A64" s="2" t="str">
        <x:v>2025-04-01</x:v>
      </x:c>
      <x:c r="B64" s="2" t="str">
        <x:v>LINE-C</x:v>
      </x:c>
      <x:c r="C64" s="15" t="n">
        <x:v>123905</x:v>
      </x:c>
      <x:c r="D64" s="15" t="n">
        <x:v>122086.44325088998</x:v>
      </x:c>
      <x:c r="E64" s="15" t="n">
        <x:v>268415</x:v>
      </x:c>
      <x:c r="F64" s="15" t="n">
        <x:v>255160</x:v>
      </x:c>
      <x:c r="G64" s="15" t="n">
        <x:v>5610</x:v>
      </x:c>
      <x:c r="H64" s="15" t="n">
        <x:v>7645</x:v>
      </x:c>
      <x:c r="I64" s="15" t="n">
        <x:v>184699.5</x:v>
      </x:c>
      <x:c r="J64" s="15" t="n">
        <x:v>1818.5567491100287</x:v>
      </x:c>
      <x:c r="K64" s="16" t="n">
        <x:v>0.9853229752704893</x:v>
      </x:c>
      <x:c r="L64" s="16" t="n">
        <x:v>0.9042164201622929</x:v>
      </x:c>
      <x:c r="M64" s="16" t="n">
        <x:v>0.9506175139243336</x:v>
      </x:c>
      <x:c r="N64" s="16" t="n">
        <x:v>0.8469481238076987</x:v>
      </x:c>
      <x:c r="O64" s="16" t="n">
        <x:v>0.9506175139243336</x:v>
      </x:c>
      <x:c r="P64" s="16" t="n">
        <x:v>0.02090047128513682</x:v>
      </x:c>
      <x:c r="Q64" s="16" t="n">
        <x:v>0.02848201479052959</x:v>
      </x:c>
    </x:row>
    <x:row r="65" ht="15" hidden="0" customHeight="1">
      <x:c r="A65" s="2" t="str">
        <x:v>2025-04-01</x:v>
      </x:c>
      <x:c r="B65" s="2" t="str">
        <x:v>LINE-D</x:v>
      </x:c>
      <x:c r="C65" s="15" t="n">
        <x:v>123905</x:v>
      </x:c>
      <x:c r="D65" s="15" t="n">
        <x:v>121835.71040199256</x:v>
      </x:c>
      <x:c r="E65" s="15" t="n">
        <x:v>268761</x:v>
      </x:c>
      <x:c r="F65" s="15" t="n">
        <x:v>256633</x:v>
      </x:c>
      <x:c r="G65" s="15" t="n">
        <x:v>5106</x:v>
      </x:c>
      <x:c r="H65" s="15" t="n">
        <x:v>7022</x:v>
      </x:c>
      <x:c r="I65" s="15" t="n">
        <x:v>169820.5</x:v>
      </x:c>
      <x:c r="J65" s="15" t="n">
        <x:v>2069.2895980074454</x:v>
      </x:c>
      <x:c r="K65" s="16" t="n">
        <x:v>0.9832993858358626</x:v>
      </x:c>
      <x:c r="L65" s="16" t="n">
        <x:v>0.9111398152511709</x:v>
      </x:c>
      <x:c r="M65" s="16" t="n">
        <x:v>0.9548744051406268</x:v>
      </x:c>
      <x:c r="N65" s="16" t="n">
        <x:v>0.8554941524625403</x:v>
      </x:c>
      <x:c r="O65" s="16" t="n">
        <x:v>0.9548744051406268</x:v>
      </x:c>
      <x:c r="P65" s="16" t="n">
        <x:v>0.018998292162925423</x:v>
      </x:c>
      <x:c r="Q65" s="16" t="n">
        <x:v>0.026127302696447773</x:v>
      </x:c>
    </x:row>
    <x:row r="66" ht="15" hidden="0" customHeight="1">
      <x:c r="A66" s="2" t="str">
        <x:v>2025-05-01</x:v>
      </x:c>
      <x:c r="B66" s="2" t="str">
        <x:v>LINE-A</x:v>
      </x:c>
      <x:c r="C66" s="15" t="n">
        <x:v>128012</x:v>
      </x:c>
      <x:c r="D66" s="15" t="n">
        <x:v>126229.0402521845</x:v>
      </x:c>
      <x:c r="E66" s="15" t="n">
        <x:v>276416</x:v>
      </x:c>
      <x:c r="F66" s="15" t="n">
        <x:v>262278</x:v>
      </x:c>
      <x:c r="G66" s="15" t="n">
        <x:v>5937</x:v>
      </x:c>
      <x:c r="H66" s="15" t="n">
        <x:v>8201</x:v>
      </x:c>
      <x:c r="I66" s="15" t="n">
        <x:v>198665</x:v>
      </x:c>
      <x:c r="J66" s="15" t="n">
        <x:v>1782.9597478155001</x:v>
      </x:c>
      <x:c r="K66" s="16" t="n">
        <x:v>0.9860719327264983</x:v>
      </x:c>
      <x:c r="L66" s="16" t="n">
        <x:v>0.9062214720014639</x:v>
      </x:c>
      <x:c r="M66" s="16" t="n">
        <x:v>0.9488524542718222</x:v>
      </x:c>
      <x:c r="N66" s="16" t="n">
        <x:v>0.8478941341000844</x:v>
      </x:c>
      <x:c r="O66" s="16" t="n">
        <x:v>0.9488524542718222</x:v>
      </x:c>
      <x:c r="P66" s="16" t="n">
        <x:v>0.02147849617967122</x:v>
      </x:c>
      <x:c r="Q66" s="16" t="n">
        <x:v>0.029669049548506597</x:v>
      </x:c>
    </x:row>
    <x:row r="67" ht="15" hidden="0" customHeight="1">
      <x:c r="A67" s="2" t="str">
        <x:v>2025-05-01</x:v>
      </x:c>
      <x:c r="B67" s="2" t="str">
        <x:v>LINE-B</x:v>
      </x:c>
      <x:c r="C67" s="15" t="n">
        <x:v>128012</x:v>
      </x:c>
      <x:c r="D67" s="15" t="n">
        <x:v>126332.55207693587</x:v>
      </x:c>
      <x:c r="E67" s="15" t="n">
        <x:v>278537</x:v>
      </x:c>
      <x:c r="F67" s="15" t="n">
        <x:v>264332</x:v>
      </x:c>
      <x:c r="G67" s="15" t="n">
        <x:v>5991</x:v>
      </x:c>
      <x:c r="H67" s="15" t="n">
        <x:v>8214</x:v>
      </x:c>
      <x:c r="I67" s="15" t="n">
        <x:v>196539.5</x:v>
      </x:c>
      <x:c r="J67" s="15" t="n">
        <x:v>1679.4479230641352</x:v>
      </x:c>
      <x:c r="K67" s="16" t="n">
        <x:v>0.9868805430501505</x:v>
      </x:c>
      <x:c r="L67" s="16" t="n">
        <x:v>0.9095652554380584</x:v>
      </x:c>
      <x:c r="M67" s="16" t="n">
        <x:v>0.9490013894024851</x:v>
      </x:c>
      <x:c r="N67" s="16" t="n">
        <x:v>0.851854255484204</x:v>
      </x:c>
      <x:c r="O67" s="16" t="n">
        <x:v>0.9490013894024851</x:v>
      </x:c>
      <x:c r="P67" s="16" t="n">
        <x:v>0.021508812114728024</x:v>
      </x:c>
      <x:c r="Q67" s="16" t="n">
        <x:v>0.029489798482786846</x:v>
      </x:c>
    </x:row>
    <x:row r="68" ht="15" hidden="0" customHeight="1">
      <x:c r="A68" s="2" t="str">
        <x:v>2025-05-01</x:v>
      </x:c>
      <x:c r="B68" s="2" t="str">
        <x:v>LINE-C</x:v>
      </x:c>
      <x:c r="C68" s="15" t="n">
        <x:v>128012</x:v>
      </x:c>
      <x:c r="D68" s="15" t="n">
        <x:v>125534.21800592192</x:v>
      </x:c>
      <x:c r="E68" s="15" t="n">
        <x:v>275614</x:v>
      </x:c>
      <x:c r="F68" s="15" t="n">
        <x:v>260889</x:v>
      </x:c>
      <x:c r="G68" s="15" t="n">
        <x:v>6347</x:v>
      </x:c>
      <x:c r="H68" s="15" t="n">
        <x:v>8378</x:v>
      </x:c>
      <x:c r="I68" s="15" t="n">
        <x:v>208424.5</x:v>
      </x:c>
      <x:c r="J68" s="15" t="n">
        <x:v>2477.7819940780814</x:v>
      </x:c>
      <x:c r="K68" s="16" t="n">
        <x:v>0.9806441427828791</x:v>
      </x:c>
      <x:c r="L68" s="16" t="n">
        <x:v>0.9067641886132078</x:v>
      </x:c>
      <x:c r="M68" s="16" t="n">
        <x:v>0.9465738315179926</x:v>
      </x:c>
      <x:c r="N68" s="16" t="n">
        <x:v>0.8417057474047043</x:v>
      </x:c>
      <x:c r="O68" s="16" t="n">
        <x:v>0.9465738315179926</x:v>
      </x:c>
      <x:c r="P68" s="16" t="n">
        <x:v>0.023028583453670714</x:v>
      </x:c>
      <x:c r="Q68" s="16" t="n">
        <x:v>0.030397585028336734</x:v>
      </x:c>
    </x:row>
    <x:row r="69" ht="15" hidden="0" customHeight="1">
      <x:c r="A69" s="2" t="str">
        <x:v>2025-05-01</x:v>
      </x:c>
      <x:c r="B69" s="2" t="str">
        <x:v>LINE-D</x:v>
      </x:c>
      <x:c r="C69" s="15" t="n">
        <x:v>128012</x:v>
      </x:c>
      <x:c r="D69" s="15" t="n">
        <x:v>125805.00580267765</x:v>
      </x:c>
      <x:c r="E69" s="15" t="n">
        <x:v>276899</x:v>
      </x:c>
      <x:c r="F69" s="15" t="n">
        <x:v>263147</x:v>
      </x:c>
      <x:c r="G69" s="15" t="n">
        <x:v>5724</x:v>
      </x:c>
      <x:c r="H69" s="15" t="n">
        <x:v>8028</x:v>
      </x:c>
      <x:c r="I69" s="15" t="n">
        <x:v>191822</x:v>
      </x:c>
      <x:c r="J69" s="15" t="n">
        <x:v>2206.9941973223417</x:v>
      </x:c>
      <x:c r="K69" s="16" t="n">
        <x:v>0.9827594741327192</x:v>
      </x:c>
      <x:c r="L69" s="16" t="n">
        <x:v>0.9089643606552958</x:v>
      </x:c>
      <x:c r="M69" s="16" t="n">
        <x:v>0.9503356819634596</x:v>
      </x:c>
      <x:c r="N69" s="16" t="n">
        <x:v>0.8489285326901702</x:v>
      </x:c>
      <x:c r="O69" s="16" t="n">
        <x:v>0.9503356819634596</x:v>
      </x:c>
      <x:c r="P69" s="16" t="n">
        <x:v>0.020671797297931737</x:v>
      </x:c>
      <x:c r="Q69" s="16" t="n">
        <x:v>0.02899252073860866</x:v>
      </x:c>
    </x:row>
    <x:row r="70" ht="15" hidden="0" customHeight="1">
      <x:c r="A70" s="2" t="str">
        <x:v>2025-06-01</x:v>
      </x:c>
      <x:c r="B70" s="2" t="str">
        <x:v>LINE-A</x:v>
      </x:c>
      <x:c r="C70" s="15" t="n">
        <x:v>123905</x:v>
      </x:c>
      <x:c r="D70" s="15" t="n">
        <x:v>122011.67661687791</x:v>
      </x:c>
      <x:c r="E70" s="15" t="n">
        <x:v>268537</x:v>
      </x:c>
      <x:c r="F70" s="15" t="n">
        <x:v>256209</x:v>
      </x:c>
      <x:c r="G70" s="15" t="n">
        <x:v>5188</x:v>
      </x:c>
      <x:c r="H70" s="15" t="n">
        <x:v>7140</x:v>
      </x:c>
      <x:c r="I70" s="15" t="n">
        <x:v>172155.5</x:v>
      </x:c>
      <x:c r="J70" s="15" t="n">
        <x:v>1893.3233831220807</x:v>
      </x:c>
      <x:c r="K70" s="16" t="n">
        <x:v>0.9847195562477536</x:v>
      </x:c>
      <x:c r="L70" s="16" t="n">
        <x:v>0.9087703986575811</x:v>
      </x:c>
      <x:c r="M70" s="16" t="n">
        <x:v>0.954091987323907</x:v>
      </x:c>
      <x:c r="N70" s="16" t="n">
        <x:v>0.8538016384299844</x:v>
      </x:c>
      <x:c r="O70" s="16" t="n">
        <x:v>0.954091987323907</x:v>
      </x:c>
      <x:c r="P70" s="16" t="n">
        <x:v>0.01931949787180165</x:v>
      </x:c>
      <x:c r="Q70" s="16" t="n">
        <x:v>0.0265885148042914</x:v>
      </x:c>
    </x:row>
    <x:row r="71" ht="15" hidden="0" customHeight="1">
      <x:c r="A71" s="2" t="str">
        <x:v>2025-06-01</x:v>
      </x:c>
      <x:c r="B71" s="2" t="str">
        <x:v>LINE-B</x:v>
      </x:c>
      <x:c r="C71" s="15" t="n">
        <x:v>123905</x:v>
      </x:c>
      <x:c r="D71" s="15" t="n">
        <x:v>121608.87329451069</x:v>
      </x:c>
      <x:c r="E71" s="15" t="n">
        <x:v>268137</x:v>
      </x:c>
      <x:c r="F71" s="15" t="n">
        <x:v>255637</x:v>
      </x:c>
      <x:c r="G71" s="15" t="n">
        <x:v>5302</x:v>
      </x:c>
      <x:c r="H71" s="15" t="n">
        <x:v>7198</x:v>
      </x:c>
      <x:c r="I71" s="15" t="n">
        <x:v>173502</x:v>
      </x:c>
      <x:c r="J71" s="15" t="n">
        <x:v>2296.126705489315</x:v>
      </x:c>
      <x:c r="K71" s="16" t="n">
        <x:v>0.981468651745375</x:v>
      </x:c>
      <x:c r="L71" s="16" t="n">
        <x:v>0.9085005916120134</x:v>
      </x:c>
      <x:c r="M71" s="16" t="n">
        <x:v>0.9533820397781732</x:v>
      </x:c>
      <x:c r="N71" s="16" t="n">
        <x:v>0.8500972542154193</x:v>
      </x:c>
      <x:c r="O71" s="16" t="n">
        <x:v>0.9533820397781732</x:v>
      </x:c>
      <x:c r="P71" s="16" t="n">
        <x:v>0.019773474007690098</x:v>
      </x:c>
      <x:c r="Q71" s="16" t="n">
        <x:v>0.026844486214136803</x:v>
      </x:c>
    </x:row>
    <x:row r="72" ht="15" hidden="0" customHeight="1">
      <x:c r="A72" s="2" t="str">
        <x:v>2025-06-01</x:v>
      </x:c>
      <x:c r="B72" s="2" t="str">
        <x:v>LINE-C</x:v>
      </x:c>
      <x:c r="C72" s="15" t="n">
        <x:v>123905</x:v>
      </x:c>
      <x:c r="D72" s="15" t="n">
        <x:v>121705.12282565839</x:v>
      </x:c>
      <x:c r="E72" s="15" t="n">
        <x:v>267559</x:v>
      </x:c>
      <x:c r="F72" s="15" t="n">
        <x:v>255699</x:v>
      </x:c>
      <x:c r="G72" s="15" t="n">
        <x:v>4992</x:v>
      </x:c>
      <x:c r="H72" s="15" t="n">
        <x:v>6868</x:v>
      </x:c>
      <x:c r="I72" s="15" t="n">
        <x:v>165171</x:v>
      </x:c>
      <x:c r="J72" s="15" t="n">
        <x:v>2199.8771743416128</x:v>
      </x:c>
      <x:c r="K72" s="16" t="n">
        <x:v>0.9822454527715458</x:v>
      </x:c>
      <x:c r="L72" s="16" t="n">
        <x:v>0.9087804257161104</x:v>
      </x:c>
      <x:c r="M72" s="16" t="n">
        <x:v>0.9556733281257592</x:v>
      </x:c>
      <x:c r="N72" s="16" t="n">
        <x:v>0.8530774391762768</x:v>
      </x:c>
      <x:c r="O72" s="16" t="n">
        <x:v>0.9556733281257592</x:v>
      </x:c>
      <x:c r="P72" s="16" t="n">
        <x:v>0.018657567116037957</x:v>
      </x:c>
      <x:c r="Q72" s="16" t="n">
        <x:v>0.025669104758202863</x:v>
      </x:c>
    </x:row>
    <x:row r="73" ht="15" hidden="0" customHeight="1">
      <x:c r="A73" s="2" t="str">
        <x:v>2025-06-01</x:v>
      </x:c>
      <x:c r="B73" s="2" t="str">
        <x:v>LINE-D</x:v>
      </x:c>
      <x:c r="C73" s="15" t="n">
        <x:v>123905</x:v>
      </x:c>
      <x:c r="D73" s="15" t="n">
        <x:v>121864.0765197736</x:v>
      </x:c>
      <x:c r="E73" s="15" t="n">
        <x:v>268265</x:v>
      </x:c>
      <x:c r="F73" s="15" t="n">
        <x:v>256863</x:v>
      </x:c>
      <x:c r="G73" s="15" t="n">
        <x:v>4774</x:v>
      </x:c>
      <x:c r="H73" s="15" t="n">
        <x:v>6628</x:v>
      </x:c>
      <x:c r="I73" s="15" t="n">
        <x:v>159395</x:v>
      </x:c>
      <x:c r="J73" s="15" t="n">
        <x:v>2040.9234802263982</x:v>
      </x:c>
      <x:c r="K73" s="16" t="n">
        <x:v>0.9835283202435221</x:v>
      </x:c>
      <x:c r="L73" s="16" t="n">
        <x:v>0.9115527438909254</x:v>
      </x:c>
      <x:c r="M73" s="16" t="n">
        <x:v>0.9574972508527017</x:v>
      </x:c>
      <x:c r="N73" s="16" t="n">
        <x:v>0.8584326118895349</x:v>
      </x:c>
      <x:c r="O73" s="16" t="n">
        <x:v>0.9574972508527017</x:v>
      </x:c>
      <x:c r="P73" s="16" t="n">
        <x:v>0.017795836206735877</x:v>
      </x:c>
      <x:c r="Q73" s="16" t="n">
        <x:v>0.024706912940562504</x:v>
      </x:c>
    </x:row>
  </x:sheetData>
  <x:pageMargins left="0.7" right="0.7" top="0.75" bottom="0.75" header="0.3" footer="0.3"/>
  <x:tableParts count="1">
    <x:tablePart xmlns:r="http://schemas.openxmlformats.org/officeDocument/2006/relationships" r:id="R7ea5740eb27f4e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15" hidden="0" customHeight="1">
      <x:c r="A1" s="11" t="str">
        <x:v>category</x:v>
      </x:c>
      <x:c r="B1" s="12" t="str">
        <x:v>duration_min</x:v>
      </x:c>
      <x:c r="C1" s="12" t="str">
        <x:v>event_count</x:v>
      </x:c>
      <x:c r="D1" s="12" t="str">
        <x:v>share</x:v>
      </x:c>
      <x:c r="E1" s="13" t="str">
        <x:v>cumulative_share</x:v>
      </x:c>
    </x:row>
    <x:row r="2" ht="15" hidden="0" customHeight="1">
      <x:c r="A2" s="2" t="str">
        <x:v>Electrical</x:v>
      </x:c>
      <x:c r="B2" s="17" t="n">
        <x:v>61966.45024210841</x:v>
      </x:c>
      <x:c r="C2" s="2" t="n">
        <x:v>572</x:v>
      </x:c>
      <x:c r="D2" s="16" t="n">
        <x:v>0.4188553998584023</x:v>
      </x:c>
      <x:c r="E2" s="16" t="n">
        <x:v>0.4188553998584023</x:v>
      </x:c>
    </x:row>
    <x:row r="3" ht="15" hidden="0" customHeight="1">
      <x:c r="A3" s="2" t="str">
        <x:v>Minor Stop</x:v>
      </x:c>
      <x:c r="B3" s="17" t="n">
        <x:v>42383.29919447892</x:v>
      </x:c>
      <x:c r="C3" s="2" t="n">
        <x:v>3821</x:v>
      </x:c>
      <x:c r="D3" s="16" t="n">
        <x:v>0.2864852458396645</x:v>
      </x:c>
      <x:c r="E3" s="16" t="n">
        <x:v>0.7053406456980669</x:v>
      </x:c>
    </x:row>
    <x:row r="4" ht="15" hidden="0" customHeight="1">
      <x:c r="A4" s="2" t="str">
        <x:v>Bearing</x:v>
      </x:c>
      <x:c r="B4" s="17" t="n">
        <x:v>26625.68178829241</x:v>
      </x:c>
      <x:c r="C4" s="2" t="n">
        <x:v>199</x:v>
      </x:c>
      <x:c r="D4" s="16" t="n">
        <x:v>0.17997336539957884</x:v>
      </x:c>
      <x:c r="E4" s="16" t="n">
        <x:v>0.8853140110976457</x:v>
      </x:c>
    </x:row>
    <x:row r="5" ht="15" hidden="0" customHeight="1">
      <x:c r="A5" s="2" t="str">
        <x:v>Sensor</x:v>
      </x:c>
      <x:c r="B5" s="17" t="n">
        <x:v>6469.385389917207</x:v>
      </x:c>
      <x:c r="C5" s="2" t="n">
        <x:v>144</x:v>
      </x:c>
      <x:c r="D5" s="16" t="n">
        <x:v>0.043729098467714306</x:v>
      </x:c>
      <x:c r="E5" s="16" t="n">
        <x:v>0.9290431095653601</x:v>
      </x:c>
    </x:row>
    <x:row r="6" ht="15" hidden="0" customHeight="1">
      <x:c r="A6" s="2" t="str">
        <x:v>Hydraulic</x:v>
      </x:c>
      <x:c r="B6" s="17" t="n">
        <x:v>6079.821942394254</x:v>
      </x:c>
      <x:c r="C6" s="2" t="n">
        <x:v>51</x:v>
      </x:c>
      <x:c r="D6" s="16" t="n">
        <x:v>0.04109588722284032</x:v>
      </x:c>
      <x:c r="E6" s="16" t="n">
        <x:v>0.9701389967882004</x:v>
      </x:c>
    </x:row>
    <x:row r="7" ht="15" hidden="0" customHeight="1">
      <x:c r="A7" s="2" t="str">
        <x:v>Overheating</x:v>
      </x:c>
      <x:c r="B7" s="17" t="n">
        <x:v>4417.706851407374</x:v>
      </x:c>
      <x:c r="C7" s="2" t="n">
        <x:v>49</x:v>
      </x:c>
      <x:c r="D7" s="16" t="n">
        <x:v>0.029861003211799922</x:v>
      </x:c>
      <x:c r="E7" s="16" t="n">
        <x:v>1.0000000000000002</x:v>
      </x:c>
    </x:row>
    <x:row r="8">
      <x:c r="A8" s="86"/>
      <x:c r="B8" s="589"/>
      <x:c r="C8" s="86"/>
      <x:c r="D8" s="590"/>
      <x:c r="E8" s="590"/>
    </x:row>
    <x:row r="9">
      <x:c r="A9" s="86"/>
      <x:c r="B9" s="589"/>
      <x:c r="C9" s="86"/>
      <x:c r="D9" s="590"/>
      <x:c r="E9" s="590"/>
    </x:row>
    <x:row r="10">
      <x:c r="A10" s="86"/>
      <x:c r="B10" s="589"/>
      <x:c r="C10" s="86"/>
      <x:c r="D10" s="590"/>
      <x:c r="E10" s="590"/>
    </x:row>
    <x:row r="11">
      <x:c r="A11" s="86"/>
      <x:c r="B11" s="589"/>
      <x:c r="C11" s="86"/>
      <x:c r="D11" s="590"/>
      <x:c r="E11" s="590"/>
    </x:row>
    <x:row r="12">
      <x:c r="A12" s="86"/>
      <x:c r="B12" s="589"/>
      <x:c r="C12" s="86"/>
      <x:c r="D12" s="590"/>
      <x:c r="E12" s="590"/>
    </x:row>
    <x:row r="13">
      <x:c r="A13" s="86"/>
      <x:c r="B13" s="589"/>
      <x:c r="C13" s="86"/>
      <x:c r="D13" s="590"/>
      <x:c r="E13" s="590"/>
    </x:row>
    <x:row r="14">
      <x:c r="A14" s="86"/>
      <x:c r="B14" s="589"/>
      <x:c r="C14" s="86"/>
      <x:c r="D14" s="590"/>
      <x:c r="E14" s="590"/>
    </x:row>
    <x:row r="15">
      <x:c r="A15" s="86"/>
      <x:c r="B15" s="589"/>
      <x:c r="C15" s="86"/>
      <x:c r="D15" s="590"/>
      <x:c r="E15" s="590"/>
    </x:row>
    <x:row r="16">
      <x:c r="A16" s="86"/>
      <x:c r="B16" s="589"/>
      <x:c r="C16" s="86"/>
      <x:c r="D16" s="590"/>
      <x:c r="E16" s="590"/>
    </x:row>
    <x:row r="17">
      <x:c r="A17" s="86"/>
      <x:c r="B17" s="589"/>
      <x:c r="C17" s="86"/>
      <x:c r="D17" s="590"/>
      <x:c r="E17" s="590"/>
    </x:row>
    <x:row r="18">
      <x:c r="A18" s="86"/>
      <x:c r="B18" s="589"/>
      <x:c r="C18" s="86"/>
      <x:c r="D18" s="590"/>
      <x:c r="E18" s="590"/>
    </x:row>
    <x:row r="19">
      <x:c r="A19" s="86"/>
      <x:c r="B19" s="589"/>
      <x:c r="C19" s="86"/>
      <x:c r="D19" s="590"/>
      <x:c r="E19" s="590"/>
    </x:row>
    <x:row r="20">
      <x:c r="A20" s="86"/>
      <x:c r="B20" s="589"/>
      <x:c r="C20" s="86"/>
      <x:c r="D20" s="590"/>
      <x:c r="E20" s="590"/>
    </x:row>
  </x:sheetData>
  <x:pageMargins left="0.7" right="0.7" top="0.75" bottom="0.75" header="0.3" footer="0.3"/>
  <x:tableParts count="1">
    <x:tablePart xmlns:r="http://schemas.openxmlformats.org/officeDocument/2006/relationships" r:id="R8b929811a4d94d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5" hidden="0" customHeight="1">
      <x:c r="A1" s="11" t="str">
        <x:v>product_id</x:v>
      </x:c>
      <x:c r="B1" s="12" t="str">
        <x:v>mean</x:v>
      </x:c>
      <x:c r="C1" s="12" t="str">
        <x:v>lsl</x:v>
      </x:c>
      <x:c r="D1" s="12" t="str">
        <x:v>usl</x:v>
      </x:c>
      <x:c r="E1" s="12" t="str">
        <x:v>sigma_within</x:v>
      </x:c>
      <x:c r="F1" s="12" t="str">
        <x:v>sigma_overall</x:v>
      </x:c>
      <x:c r="G1" s="12" t="str">
        <x:v>cp</x:v>
      </x:c>
      <x:c r="H1" s="12" t="str">
        <x:v>cpk</x:v>
      </x:c>
      <x:c r="I1" s="12" t="str">
        <x:v>pp</x:v>
      </x:c>
      <x:c r="J1" s="13" t="str">
        <x:v>ppk</x:v>
      </x:c>
    </x:row>
    <x:row r="2" ht="15" hidden="0" customHeight="1">
      <x:c r="A2" s="2" t="str">
        <x:v>PRD-A</x:v>
      </x:c>
      <x:c r="B2" s="20" t="n">
        <x:v>25.030450025880512</x:v>
      </x:c>
      <x:c r="C2" s="20" t="n">
        <x:v>24.85</x:v>
      </x:c>
      <x:c r="D2" s="20" t="n">
        <x:v>25.15</x:v>
      </x:c>
      <x:c r="E2" s="20" t="n">
        <x:v>0.036346898891407686</x:v>
      </x:c>
      <x:c r="F2" s="20" t="n">
        <x:v>0.04353635877394299</x:v>
      </x:c>
      <x:c r="G2" s="20" t="n">
        <x:v>1.3756331771077008</x:v>
      </x:c>
      <x:c r="H2" s="20" t="n">
        <x:v>1.0963794048075615</x:v>
      </x:c>
      <x:c r="I2" s="20" t="n">
        <x:v>1.1484653610931996</x:v>
      </x:c>
      <x:c r="J2" s="20" t="n">
        <x:v>0.9153266946388005</x:v>
      </x:c>
    </x:row>
    <x:row r="3" ht="15" hidden="0" customHeight="1">
      <x:c r="A3" s="2" t="str">
        <x:v>PRD-B</x:v>
      </x:c>
      <x:c r="B3" s="20" t="n">
        <x:v>80.0303948097921</x:v>
      </x:c>
      <x:c r="C3" s="20" t="n">
        <x:v>79.72</x:v>
      </x:c>
      <x:c r="D3" s="20" t="n">
        <x:v>80.28</x:v>
      </x:c>
      <x:c r="E3" s="20" t="n">
        <x:v>0.036246890035847266</x:v>
      </x:c>
      <x:c r="F3" s="20" t="n">
        <x:v>0.04318558394143267</x:v>
      </x:c>
      <x:c r="G3" s="20" t="n">
        <x:v>2.574933552672502</x:v>
      </x:c>
      <x:c r="H3" s="20" t="n">
        <x:v>2.2954170685268767</x:v>
      </x:c>
      <x:c r="I3" s="20" t="n">
        <x:v>2.1612150355523805</x:v>
      </x:c>
      <x:c r="J3" s="20" t="n">
        <x:v>1.9266088929615246</x:v>
      </x:c>
    </x:row>
    <x:row r="4" ht="15" hidden="0" customHeight="1">
      <x:c r="A4" s="2" t="str">
        <x:v>PRD-C</x:v>
      </x:c>
      <x:c r="B4" s="20" t="n">
        <x:v>42.030325899929984</x:v>
      </x:c>
      <x:c r="C4" s="20" t="n">
        <x:v>41.8</x:v>
      </x:c>
      <x:c r="D4" s="20" t="n">
        <x:v>42.2</x:v>
      </x:c>
      <x:c r="E4" s="20" t="n">
        <x:v>0.0365834835254129</x:v>
      </x:c>
      <x:c r="F4" s="20" t="n">
        <x:v>0.04336560811773687</x:v>
      </x:c>
      <x:c r="G4" s="20" t="n">
        <x:v>1.8223159809359675</x:v>
      </x:c>
      <x:c r="H4" s="20" t="n">
        <x:v>1.5459991205425954</x:v>
      </x:c>
      <x:c r="I4" s="20" t="n">
        <x:v>1.5373165409249834</x:v>
      </x:c>
      <x:c r="J4" s="20" t="n">
        <x:v>1.3042140030209837</x:v>
      </x:c>
    </x:row>
    <x:row r="5" ht="15" hidden="0" customHeight="1">
      <x:c r="A5" s="2" t="str">
        <x:v>PRD-D</x:v>
      </x:c>
      <x:c r="B5" s="20" t="n">
        <x:v>60.03083692843059</x:v>
      </x:c>
      <x:c r="C5" s="20" t="n">
        <x:v>59.78</x:v>
      </x:c>
      <x:c r="D5" s="20" t="n">
        <x:v>60.22</x:v>
      </x:c>
      <x:c r="E5" s="20" t="n">
        <x:v>0.03639398403325974</x:v>
      </x:c>
      <x:c r="F5" s="20" t="n">
        <x:v>0.04372309336426823</x:v>
      </x:c>
      <x:c r="G5" s="20" t="n">
        <x:v>2.0149850389095922</x:v>
      </x:c>
      <x:c r="H5" s="20" t="n">
        <x:v>1.7325489051206762</x:v>
      </x:c>
      <x:c r="I5" s="20" t="n">
        <x:v>1.67722198249731</x:v>
      </x:c>
      <x:c r="J5" s="20" t="n">
        <x:v>1.4421293723314956</x:v>
      </x:c>
    </x:row>
    <x:row r="6">
      <x:c r="A6" s="86"/>
      <x:c r="B6" s="588"/>
      <x:c r="C6" s="588"/>
      <x:c r="D6" s="588"/>
      <x:c r="E6" s="588"/>
      <x:c r="F6" s="588"/>
      <x:c r="G6" s="588"/>
      <x:c r="H6" s="588"/>
      <x:c r="I6" s="588"/>
      <x:c r="J6" s="588"/>
    </x:row>
    <x:row r="7">
      <x:c r="A7" s="86"/>
      <x:c r="B7" s="588"/>
      <x:c r="C7" s="588"/>
      <x:c r="D7" s="588"/>
      <x:c r="E7" s="588"/>
      <x:c r="F7" s="588"/>
      <x:c r="G7" s="588"/>
      <x:c r="H7" s="588"/>
      <x:c r="I7" s="588"/>
      <x:c r="J7" s="588"/>
    </x:row>
    <x:row r="8">
      <x:c r="A8" s="86"/>
      <x:c r="B8" s="588"/>
      <x:c r="C8" s="588"/>
      <x:c r="D8" s="588"/>
      <x:c r="E8" s="588"/>
      <x:c r="F8" s="588"/>
      <x:c r="G8" s="588"/>
      <x:c r="H8" s="588"/>
      <x:c r="I8" s="588"/>
      <x:c r="J8" s="588"/>
    </x:row>
    <x:row r="9">
      <x:c r="A9" s="86"/>
      <x:c r="B9" s="588"/>
      <x:c r="C9" s="588"/>
      <x:c r="D9" s="588"/>
      <x:c r="E9" s="588"/>
      <x:c r="F9" s="588"/>
      <x:c r="G9" s="588"/>
      <x:c r="H9" s="588"/>
      <x:c r="I9" s="588"/>
      <x:c r="J9" s="588"/>
    </x:row>
    <x:row r="10">
      <x:c r="A10" s="86"/>
      <x:c r="B10" s="588"/>
      <x:c r="C10" s="588"/>
      <x:c r="D10" s="588"/>
      <x:c r="E10" s="588"/>
      <x:c r="F10" s="588"/>
      <x:c r="G10" s="588"/>
      <x:c r="H10" s="588"/>
      <x:c r="I10" s="588"/>
      <x:c r="J10" s="588"/>
    </x:row>
    <x:row r="11">
      <x:c r="A11" s="86"/>
      <x:c r="B11" s="588"/>
      <x:c r="C11" s="588"/>
      <x:c r="D11" s="588"/>
      <x:c r="E11" s="588"/>
      <x:c r="F11" s="588"/>
      <x:c r="G11" s="588"/>
      <x:c r="H11" s="588"/>
      <x:c r="I11" s="588"/>
      <x:c r="J11" s="588"/>
    </x:row>
    <x:row r="12">
      <x:c r="A12" s="86"/>
      <x:c r="B12" s="588"/>
      <x:c r="C12" s="588"/>
      <x:c r="D12" s="588"/>
      <x:c r="E12" s="588"/>
      <x:c r="F12" s="588"/>
      <x:c r="G12" s="588"/>
      <x:c r="H12" s="588"/>
      <x:c r="I12" s="588"/>
      <x:c r="J12" s="588"/>
    </x:row>
    <x:row r="13">
      <x:c r="A13" s="86"/>
      <x:c r="B13" s="588"/>
      <x:c r="C13" s="588"/>
      <x:c r="D13" s="588"/>
      <x:c r="E13" s="588"/>
      <x:c r="F13" s="588"/>
      <x:c r="G13" s="588"/>
      <x:c r="H13" s="588"/>
      <x:c r="I13" s="588"/>
      <x:c r="J13" s="588"/>
    </x:row>
    <x:row r="14">
      <x:c r="A14" s="86"/>
      <x:c r="B14" s="588"/>
      <x:c r="C14" s="588"/>
      <x:c r="D14" s="588"/>
      <x:c r="E14" s="588"/>
      <x:c r="F14" s="588"/>
      <x:c r="G14" s="588"/>
      <x:c r="H14" s="588"/>
      <x:c r="I14" s="588"/>
      <x:c r="J14" s="588"/>
    </x:row>
    <x:row r="15">
      <x:c r="A15" s="86"/>
      <x:c r="B15" s="588"/>
      <x:c r="C15" s="588"/>
      <x:c r="D15" s="588"/>
      <x:c r="E15" s="588"/>
      <x:c r="F15" s="588"/>
      <x:c r="G15" s="588"/>
      <x:c r="H15" s="588"/>
      <x:c r="I15" s="588"/>
      <x:c r="J15" s="588"/>
    </x:row>
    <x:row r="16">
      <x:c r="A16" s="86"/>
      <x:c r="B16" s="588"/>
      <x:c r="C16" s="588"/>
      <x:c r="D16" s="588"/>
      <x:c r="E16" s="588"/>
      <x:c r="F16" s="588"/>
      <x:c r="G16" s="588"/>
      <x:c r="H16" s="588"/>
      <x:c r="I16" s="588"/>
      <x:c r="J16" s="588"/>
    </x:row>
    <x:row r="17">
      <x:c r="A17" s="86"/>
      <x:c r="B17" s="588"/>
      <x:c r="C17" s="588"/>
      <x:c r="D17" s="588"/>
      <x:c r="E17" s="588"/>
      <x:c r="F17" s="588"/>
      <x:c r="G17" s="588"/>
      <x:c r="H17" s="588"/>
      <x:c r="I17" s="588"/>
      <x:c r="J17" s="588"/>
    </x:row>
    <x:row r="18">
      <x:c r="A18" s="86"/>
      <x:c r="B18" s="588"/>
      <x:c r="C18" s="588"/>
      <x:c r="D18" s="588"/>
      <x:c r="E18" s="588"/>
      <x:c r="F18" s="588"/>
      <x:c r="G18" s="588"/>
      <x:c r="H18" s="588"/>
      <x:c r="I18" s="588"/>
      <x:c r="J18" s="588"/>
    </x:row>
    <x:row r="19">
      <x:c r="A19" s="86"/>
      <x:c r="B19" s="588"/>
      <x:c r="C19" s="588"/>
      <x:c r="D19" s="588"/>
      <x:c r="E19" s="588"/>
      <x:c r="F19" s="588"/>
      <x:c r="G19" s="588"/>
      <x:c r="H19" s="588"/>
      <x:c r="I19" s="588"/>
      <x:c r="J19" s="588"/>
    </x:row>
    <x:row r="20">
      <x:c r="A20" s="86"/>
      <x:c r="B20" s="588"/>
      <x:c r="C20" s="588"/>
      <x:c r="D20" s="588"/>
      <x:c r="E20" s="588"/>
      <x:c r="F20" s="588"/>
      <x:c r="G20" s="588"/>
      <x:c r="H20" s="588"/>
      <x:c r="I20" s="588"/>
      <x:c r="J20" s="588"/>
    </x:row>
  </x:sheetData>
  <x:pageMargins left="0.7" right="0.7" top="0.75" bottom="0.75" header="0.3" footer="0.3"/>
  <x:tableParts count="1">
    <x:tablePart xmlns:r="http://schemas.openxmlformats.org/officeDocument/2006/relationships" r:id="R44982dda50bb4a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15" hidden="0" customHeight="1">
      <x:c r="A1" s="11" t="str">
        <x:v>machine_id</x:v>
      </x:c>
      <x:c r="B1" s="12" t="str">
        <x:v>line_id</x:v>
      </x:c>
      <x:c r="C1" s="12" t="str">
        <x:v>criticality</x:v>
      </x:c>
      <x:c r="D1" s="12" t="str">
        <x:v>operating_hours</x:v>
      </x:c>
      <x:c r="E1" s="12" t="str">
        <x:v>failure_count</x:v>
      </x:c>
      <x:c r="F1" s="12" t="str">
        <x:v>total_repair_hours</x:v>
      </x:c>
      <x:c r="G1" s="12" t="str">
        <x:v>mtbf_hours</x:v>
      </x:c>
      <x:c r="H1" s="12" t="str">
        <x:v>mttr_hours</x:v>
      </x:c>
      <x:c r="I1" s="13" t="str">
        <x:v>intrinsic_reliability</x:v>
      </x:c>
    </x:row>
    <x:row r="2" ht="15" hidden="0" customHeight="1">
      <x:c r="A2" s="2" t="str">
        <x:v>MC-01</x:v>
      </x:c>
      <x:c r="B2" s="2" t="str">
        <x:v>LINE-A</x:v>
      </x:c>
      <x:c r="C2" s="2" t="n">
        <x:v>3</x:v>
      </x:c>
      <x:c r="D2" s="22" t="n">
        <x:v>12341.577819257276</x:v>
      </x:c>
      <x:c r="E2" s="24" t="n">
        <x:v>77</x:v>
      </x:c>
      <x:c r="F2" s="15" t="n">
        <x:v>133.42056085041207</x:v>
      </x:c>
      <x:c r="G2" s="15" t="n">
        <x:v>160.28023141892567</x:v>
      </x:c>
      <x:c r="H2" s="15" t="n">
        <x:v>1.732734556498858</x:v>
      </x:c>
      <x:c r="I2" s="27" t="n">
        <x:v>0.9893049636733291</x:v>
      </x:c>
    </x:row>
    <x:row r="3" ht="15" hidden="0" customHeight="1">
      <x:c r="A3" s="2" t="str">
        <x:v>MC-02</x:v>
      </x:c>
      <x:c r="B3" s="2" t="str">
        <x:v>LINE-A</x:v>
      </x:c>
      <x:c r="C3" s="2" t="n">
        <x:v>4</x:v>
      </x:c>
      <x:c r="D3" s="22" t="n">
        <x:v>12351.95192949934</x:v>
      </x:c>
      <x:c r="E3" s="24" t="n">
        <x:v>79</x:v>
      </x:c>
      <x:c r="F3" s="15" t="n">
        <x:v>145.0424165902618</x:v>
      </x:c>
      <x:c r="G3" s="15" t="n">
        <x:v>156.35382189239672</x:v>
      </x:c>
      <x:c r="H3" s="15" t="n">
        <x:v>1.8359799568387571</x:v>
      </x:c>
      <x:c r="I3" s="27" t="n">
        <x:v>0.9883938159389783</x:v>
      </x:c>
    </x:row>
    <x:row r="4" ht="15" hidden="0" customHeight="1">
      <x:c r="A4" s="2" t="str">
        <x:v>MC-03</x:v>
      </x:c>
      <x:c r="B4" s="2" t="str">
        <x:v>LINE-A</x:v>
      </x:c>
      <x:c r="C4" s="2" t="n">
        <x:v>5</x:v>
      </x:c>
      <x:c r="D4" s="22" t="n">
        <x:v>12339.983897564234</x:v>
      </x:c>
      <x:c r="E4" s="24" t="n">
        <x:v>92</x:v>
      </x:c>
      <x:c r="F4" s="15" t="n">
        <x:v>161.53240173604243</x:v>
      </x:c>
      <x:c r="G4" s="15" t="n">
        <x:v>134.13025975613297</x:v>
      </x:c>
      <x:c r="H4" s="15" t="n">
        <x:v>1.7557869753917656</x:v>
      </x:c>
      <x:c r="I4" s="27" t="n">
        <x:v>0.9870789752323816</x:v>
      </x:c>
    </x:row>
    <x:row r="5" ht="15" hidden="0" customHeight="1">
      <x:c r="A5" s="2" t="str">
        <x:v>MC-04</x:v>
      </x:c>
      <x:c r="B5" s="2" t="str">
        <x:v>LINE-B</x:v>
      </x:c>
      <x:c r="C5" s="2" t="n">
        <x:v>4</x:v>
      </x:c>
      <x:c r="D5" s="22" t="n">
        <x:v>12339.386823314113</x:v>
      </x:c>
      <x:c r="E5" s="24" t="n">
        <x:v>80</x:v>
      </x:c>
      <x:c r="F5" s="15" t="n">
        <x:v>131.4220552632659</x:v>
      </x:c>
      <x:c r="G5" s="15" t="n">
        <x:v>154.2423352914264</x:v>
      </x:c>
      <x:c r="H5" s="15" t="n">
        <x:v>1.6427756907908235</x:v>
      </x:c>
      <x:c r="I5" s="27" t="n">
        <x:v>0.9894616254211847</x:v>
      </x:c>
    </x:row>
    <x:row r="6" ht="15" hidden="0" customHeight="1">
      <x:c r="A6" s="2" t="str">
        <x:v>MC-05</x:v>
      </x:c>
      <x:c r="B6" s="2" t="str">
        <x:v>LINE-B</x:v>
      </x:c>
      <x:c r="C6" s="2" t="n">
        <x:v>5</x:v>
      </x:c>
      <x:c r="D6" s="22" t="n">
        <x:v>12345.640312350379</x:v>
      </x:c>
      <x:c r="E6" s="24" t="n">
        <x:v>89</x:v>
      </x:c>
      <x:c r="F6" s="15" t="n">
        <x:v>155.56627725738915</x:v>
      </x:c>
      <x:c r="G6" s="15" t="n">
        <x:v>138.7150596893301</x:v>
      </x:c>
      <x:c r="H6" s="15" t="n">
        <x:v>1.7479356995212263</x:v>
      </x:c>
      <x:c r="I6" s="27" t="n">
        <x:v>0.9875558990132431</x:v>
      </x:c>
    </x:row>
    <x:row r="7" ht="15" hidden="0" customHeight="1">
      <x:c r="A7" s="2" t="str">
        <x:v>MC-06</x:v>
      </x:c>
      <x:c r="B7" s="2" t="str">
        <x:v>LINE-B</x:v>
      </x:c>
      <x:c r="C7" s="2" t="n">
        <x:v>3</x:v>
      </x:c>
      <x:c r="D7" s="22" t="n">
        <x:v>12351.686969895063</x:v>
      </x:c>
      <x:c r="E7" s="24" t="n">
        <x:v>86</x:v>
      </x:c>
      <x:c r="F7" s="15" t="n">
        <x:v>143.71155708429836</x:v>
      </x:c>
      <x:c r="G7" s="15" t="n">
        <x:v>143.62426709180306</x:v>
      </x:c>
      <x:c r="H7" s="15" t="n">
        <x:v>1.6710646172592833</x:v>
      </x:c>
      <x:c r="I7" s="27" t="n">
        <x:v>0.9884988416516685</x:v>
      </x:c>
    </x:row>
    <x:row r="8" ht="15" hidden="0" customHeight="1">
      <x:c r="A8" s="2" t="str">
        <x:v>MC-07</x:v>
      </x:c>
      <x:c r="B8" s="2" t="str">
        <x:v>LINE-C</x:v>
      </x:c>
      <x:c r="C8" s="2" t="n">
        <x:v>5</x:v>
      </x:c>
      <x:c r="D8" s="22" t="n">
        <x:v>12324.588736154981</x:v>
      </x:c>
      <x:c r="E8" s="24" t="n">
        <x:v>89</x:v>
      </x:c>
      <x:c r="F8" s="15" t="n">
        <x:v>151.2341666976776</x:v>
      </x:c>
      <x:c r="G8" s="15" t="n">
        <x:v>138.47852512533686</x:v>
      </x:c>
      <x:c r="H8" s="15" t="n">
        <x:v>1.6992602999739057</x:v>
      </x:c>
      <x:c r="I8" s="27" t="n">
        <x:v>0.9878778203349539</x:v>
      </x:c>
    </x:row>
    <x:row r="9" ht="15" hidden="0" customHeight="1">
      <x:c r="A9" s="2" t="str">
        <x:v>MC-08</x:v>
      </x:c>
      <x:c r="B9" s="2" t="str">
        <x:v>LINE-C</x:v>
      </x:c>
      <x:c r="C9" s="2" t="n">
        <x:v>3</x:v>
      </x:c>
      <x:c r="D9" s="22" t="n">
        <x:v>12356.380489563877</x:v>
      </x:c>
      <x:c r="E9" s="24" t="n">
        <x:v>82</x:v>
      </x:c>
      <x:c r="F9" s="15" t="n">
        <x:v>146.06376671882984</x:v>
      </x:c>
      <x:c r="G9" s="15" t="n">
        <x:v>150.68756694590093</x:v>
      </x:c>
      <x:c r="H9" s="15" t="n">
        <x:v>1.7812654477906078</x:v>
      </x:c>
      <x:c r="I9" s="27" t="n">
        <x:v>0.988317183126377</x:v>
      </x:c>
    </x:row>
    <x:row r="10" ht="15" hidden="0" customHeight="1">
      <x:c r="A10" s="2" t="str">
        <x:v>MC-09</x:v>
      </x:c>
      <x:c r="B10" s="2" t="str">
        <x:v>LINE-C</x:v>
      </x:c>
      <x:c r="C10" s="2" t="n">
        <x:v>4</x:v>
      </x:c>
      <x:c r="D10" s="22" t="n">
        <x:v>12361.584610275004</x:v>
      </x:c>
      <x:c r="E10" s="24" t="n">
        <x:v>88</x:v>
      </x:c>
      <x:c r="F10" s="15" t="n">
        <x:v>143.01201667197472</x:v>
      </x:c>
      <x:c r="G10" s="15" t="n">
        <x:v>140.47255238948867</x:v>
      </x:c>
      <x:c r="H10" s="15" t="n">
        <x:v>1.6251365530906219</x:v>
      </x:c>
      <x:c r="I10" s="27" t="n">
        <x:v>0.9885632443061947</x:v>
      </x:c>
    </x:row>
    <x:row r="11" ht="15" hidden="0" customHeight="1">
      <x:c r="A11" s="2" t="str">
        <x:v>MC-10</x:v>
      </x:c>
      <x:c r="B11" s="2" t="str">
        <x:v>LINE-D</x:v>
      </x:c>
      <x:c r="C11" s="2" t="n">
        <x:v>3</x:v>
      </x:c>
      <x:c r="D11" s="22" t="n">
        <x:v>12345.261198964978</x:v>
      </x:c>
      <x:c r="E11" s="24" t="n">
        <x:v>79</x:v>
      </x:c>
      <x:c r="F11" s="15" t="n">
        <x:v>139.51367910305441</x:v>
      </x:c>
      <x:c r="G11" s="15" t="n">
        <x:v>156.2691291008225</x:v>
      </x:c>
      <x:c r="H11" s="15" t="n">
        <x:v>1.765995938013347</x:v>
      </x:c>
      <x:c r="I11" s="27" t="n">
        <x:v>0.9888252947717835</x:v>
      </x:c>
    </x:row>
    <x:row r="12" ht="15" hidden="0" customHeight="1">
      <x:c r="A12" s="2" t="str">
        <x:v>MC-11</x:v>
      </x:c>
      <x:c r="B12" s="2" t="str">
        <x:v>LINE-D</x:v>
      </x:c>
      <x:c r="C12" s="2" t="n">
        <x:v>4</x:v>
      </x:c>
      <x:c r="D12" s="22" t="n">
        <x:v>12337.712752252539</x:v>
      </x:c>
      <x:c r="E12" s="24" t="n">
        <x:v>86</x:v>
      </x:c>
      <x:c r="F12" s="15" t="n">
        <x:v>156.99341436530366</x:v>
      </x:c>
      <x:c r="G12" s="15" t="n">
        <x:v>143.461776188983</x:v>
      </x:c>
      <x:c r="H12" s="15" t="n">
        <x:v>1.8255048182012055</x:v>
      </x:c>
      <x:c r="I12" s="27" t="n">
        <x:v>0.987435205576523</x:v>
      </x:c>
    </x:row>
    <x:row r="13" ht="15" hidden="0" customHeight="1">
      <x:c r="A13" s="2" t="str">
        <x:v>MC-12</x:v>
      </x:c>
      <x:c r="B13" s="2" t="str">
        <x:v>LINE-D</x:v>
      </x:c>
      <x:c r="C13" s="2" t="n">
        <x:v>5</x:v>
      </x:c>
      <x:c r="D13" s="22" t="n">
        <x:v>12351.338704098242</x:v>
      </x:c>
      <x:c r="E13" s="24" t="n">
        <x:v>88</x:v>
      </x:c>
      <x:c r="F13" s="15" t="n">
        <x:v>151.80512456348424</x:v>
      </x:c>
      <x:c r="G13" s="15" t="n">
        <x:v>140.35612163748002</x:v>
      </x:c>
      <x:c r="H13" s="15" t="n">
        <x:v>1.7250582336759572</x:v>
      </x:c>
      <x:c r="I13" s="27" t="n">
        <x:v>0.987858643662445</x:v>
      </x:c>
    </x:row>
    <x:row r="14">
      <x:c r="A14" s="86"/>
      <x:c r="B14" s="86"/>
      <x:c r="C14" s="86"/>
      <x:c r="D14" s="591"/>
      <x:c r="E14" s="592"/>
      <x:c r="F14" s="593"/>
      <x:c r="G14" s="593"/>
      <x:c r="H14" s="593"/>
      <x:c r="I14" s="594"/>
    </x:row>
    <x:row r="15">
      <x:c r="A15" s="86"/>
      <x:c r="B15" s="86"/>
      <x:c r="C15" s="86"/>
      <x:c r="D15" s="591"/>
      <x:c r="E15" s="592"/>
      <x:c r="F15" s="593"/>
      <x:c r="G15" s="593"/>
      <x:c r="H15" s="593"/>
      <x:c r="I15" s="594"/>
    </x:row>
    <x:row r="16">
      <x:c r="A16" s="86"/>
      <x:c r="B16" s="86"/>
      <x:c r="C16" s="86"/>
      <x:c r="D16" s="591"/>
      <x:c r="E16" s="592"/>
      <x:c r="F16" s="593"/>
      <x:c r="G16" s="593"/>
      <x:c r="H16" s="593"/>
      <x:c r="I16" s="594"/>
    </x:row>
    <x:row r="17">
      <x:c r="A17" s="86"/>
      <x:c r="B17" s="86"/>
      <x:c r="C17" s="86"/>
      <x:c r="D17" s="591"/>
      <x:c r="E17" s="592"/>
      <x:c r="F17" s="593"/>
      <x:c r="G17" s="593"/>
      <x:c r="H17" s="593"/>
      <x:c r="I17" s="594"/>
    </x:row>
    <x:row r="18">
      <x:c r="A18" s="86"/>
      <x:c r="B18" s="86"/>
      <x:c r="C18" s="86"/>
      <x:c r="D18" s="591"/>
      <x:c r="E18" s="592"/>
      <x:c r="F18" s="593"/>
      <x:c r="G18" s="593"/>
      <x:c r="H18" s="593"/>
      <x:c r="I18" s="594"/>
    </x:row>
    <x:row r="19">
      <x:c r="A19" s="86"/>
      <x:c r="B19" s="86"/>
      <x:c r="C19" s="86"/>
      <x:c r="D19" s="591"/>
      <x:c r="E19" s="592"/>
      <x:c r="F19" s="593"/>
      <x:c r="G19" s="593"/>
      <x:c r="H19" s="593"/>
      <x:c r="I19" s="594"/>
    </x:row>
    <x:row r="20">
      <x:c r="A20" s="86"/>
      <x:c r="B20" s="86"/>
      <x:c r="C20" s="86"/>
      <x:c r="D20" s="591"/>
      <x:c r="E20" s="592"/>
      <x:c r="F20" s="593"/>
      <x:c r="G20" s="593"/>
      <x:c r="H20" s="593"/>
      <x:c r="I20" s="594"/>
    </x:row>
    <x:row r="21">
      <x:c r="A21" s="86"/>
      <x:c r="B21" s="86"/>
      <x:c r="C21" s="86"/>
      <x:c r="D21" s="591"/>
      <x:c r="E21" s="592"/>
      <x:c r="F21" s="593"/>
      <x:c r="G21" s="593"/>
      <x:c r="H21" s="593"/>
      <x:c r="I21" s="594"/>
    </x:row>
    <x:row r="22">
      <x:c r="A22" s="86"/>
      <x:c r="B22" s="86"/>
      <x:c r="C22" s="86"/>
      <x:c r="D22" s="591"/>
      <x:c r="E22" s="592"/>
      <x:c r="F22" s="593"/>
      <x:c r="G22" s="593"/>
      <x:c r="H22" s="593"/>
      <x:c r="I22" s="594"/>
    </x:row>
    <x:row r="23">
      <x:c r="A23" s="86"/>
      <x:c r="B23" s="86"/>
      <x:c r="C23" s="86"/>
      <x:c r="D23" s="591"/>
      <x:c r="E23" s="592"/>
      <x:c r="F23" s="593"/>
      <x:c r="G23" s="593"/>
      <x:c r="H23" s="593"/>
      <x:c r="I23" s="594"/>
    </x:row>
    <x:row r="24">
      <x:c r="A24" s="86"/>
      <x:c r="B24" s="86"/>
      <x:c r="C24" s="86"/>
      <x:c r="D24" s="591"/>
      <x:c r="E24" s="592"/>
      <x:c r="F24" s="593"/>
      <x:c r="G24" s="593"/>
      <x:c r="H24" s="593"/>
      <x:c r="I24" s="594"/>
    </x:row>
    <x:row r="25">
      <x:c r="A25" s="86"/>
      <x:c r="B25" s="86"/>
      <x:c r="C25" s="86"/>
      <x:c r="D25" s="591"/>
      <x:c r="E25" s="592"/>
      <x:c r="F25" s="593"/>
      <x:c r="G25" s="593"/>
      <x:c r="H25" s="593"/>
      <x:c r="I25" s="594"/>
    </x:row>
    <x:row r="26">
      <x:c r="A26" s="86"/>
      <x:c r="B26" s="86"/>
      <x:c r="C26" s="86"/>
      <x:c r="D26" s="591"/>
      <x:c r="E26" s="592"/>
      <x:c r="F26" s="593"/>
      <x:c r="G26" s="593"/>
      <x:c r="H26" s="593"/>
      <x:c r="I26" s="594"/>
    </x:row>
    <x:row r="27">
      <x:c r="A27" s="86"/>
      <x:c r="B27" s="86"/>
      <x:c r="C27" s="86"/>
      <x:c r="D27" s="591"/>
      <x:c r="E27" s="592"/>
      <x:c r="F27" s="593"/>
      <x:c r="G27" s="593"/>
      <x:c r="H27" s="593"/>
      <x:c r="I27" s="594"/>
    </x:row>
    <x:row r="28">
      <x:c r="A28" s="86"/>
      <x:c r="B28" s="86"/>
      <x:c r="C28" s="86"/>
      <x:c r="D28" s="591"/>
      <x:c r="E28" s="592"/>
      <x:c r="F28" s="593"/>
      <x:c r="G28" s="593"/>
      <x:c r="H28" s="593"/>
      <x:c r="I28" s="594"/>
    </x:row>
    <x:row r="29">
      <x:c r="A29" s="86"/>
      <x:c r="B29" s="86"/>
      <x:c r="C29" s="86"/>
      <x:c r="D29" s="591"/>
      <x:c r="E29" s="592"/>
      <x:c r="F29" s="593"/>
      <x:c r="G29" s="593"/>
      <x:c r="H29" s="593"/>
      <x:c r="I29" s="594"/>
    </x:row>
    <x:row r="30">
      <x:c r="A30" s="86"/>
      <x:c r="B30" s="86"/>
      <x:c r="C30" s="86"/>
      <x:c r="D30" s="591"/>
      <x:c r="E30" s="592"/>
      <x:c r="F30" s="593"/>
      <x:c r="G30" s="593"/>
      <x:c r="H30" s="593"/>
      <x:c r="I30" s="594"/>
    </x:row>
  </x:sheetData>
  <x:pageMargins left="0.7" right="0.7" top="0.75" bottom="0.75" header="0.3" footer="0.3"/>
  <x:tableParts count="1">
    <x:tablePart xmlns:r="http://schemas.openxmlformats.org/officeDocument/2006/relationships" r:id="Rd7752b0b99a246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15" hidden="0" customHeight="1">
      <x:c r="A1" s="11" t="str">
        <x:v>subgroup_id</x:v>
      </x:c>
      <x:c r="B1" s="12" t="str">
        <x:v>timestamp</x:v>
      </x:c>
      <x:c r="C1" s="12" t="str">
        <x:v>machine_id</x:v>
      </x:c>
      <x:c r="D1" s="12" t="str">
        <x:v>product_id</x:v>
      </x:c>
      <x:c r="E1" s="12" t="str">
        <x:v>xbar</x:v>
      </x:c>
      <x:c r="F1" s="12" t="str">
        <x:v>range</x:v>
      </x:c>
      <x:c r="G1" s="12" t="str">
        <x:v>n</x:v>
      </x:c>
      <x:c r="H1" s="12" t="str">
        <x:v>xbar_lcl</x:v>
      </x:c>
      <x:c r="I1" s="12" t="str">
        <x:v>xbar_cl</x:v>
      </x:c>
      <x:c r="J1" s="12" t="str">
        <x:v>xbar_ucl</x:v>
      </x:c>
      <x:c r="K1" s="12" t="str">
        <x:v>range_lcl</x:v>
      </x:c>
      <x:c r="L1" s="12" t="str">
        <x:v>range_cl</x:v>
      </x:c>
      <x:c r="M1" s="12" t="str">
        <x:v>range_ucl</x:v>
      </x:c>
      <x:c r="N1" s="12" t="str">
        <x:v>rule_1_beyond_3sigma</x:v>
      </x:c>
      <x:c r="O1" s="12" t="str">
        <x:v>rule_2_two_of_three_beyond_2sigma</x:v>
      </x:c>
      <x:c r="P1" s="12" t="str">
        <x:v>rule_3_four_of_five_beyond_1sigma</x:v>
      </x:c>
      <x:c r="Q1" s="12" t="str">
        <x:v>rule_4_eight_same_side</x:v>
      </x:c>
      <x:c r="R1" s="12" t="str">
        <x:v>any_signal</x:v>
      </x:c>
      <x:c r="S1" s="13" t="str">
        <x:v>range_rule_1</x:v>
      </x:c>
    </x:row>
    <x:row r="2" ht="15" hidden="0" customHeight="1">
      <x:c r="A2" s="2" t="str">
        <x:v>SG-MC-01-2025062200</x:v>
      </x:c>
      <x:c r="B2" s="2" t="str">
        <x:v>2025-06-22 00:00:00</x:v>
      </x:c>
      <x:c r="C2" s="2" t="str">
        <x:v>MC-01</x:v>
      </x:c>
      <x:c r="D2" s="2" t="str">
        <x:v>PRD-B</x:v>
      </x:c>
      <x:c r="E2" s="2" t="n">
        <x:v>80.0115582256789</x:v>
      </x:c>
      <x:c r="F2" s="2" t="n">
        <x:v>0.1116430939029839</x:v>
      </x:c>
      <x:c r="G2" s="2" t="n">
        <x:v>5</x:v>
      </x:c>
      <x:c r="H2" s="2" t="n">
        <x:v>79.98133298727322</x:v>
      </x:c>
      <x:c r="I2" s="2" t="n">
        <x:v>80.02998001088412</x:v>
      </x:c>
      <x:c r="J2" s="2" t="n">
        <x:v>80.07862703449501</x:v>
      </x:c>
      <x:c r="K2" s="2" t="n">
        <x:v>0</x:v>
      </x:c>
      <x:c r="L2" s="2" t="n">
        <x:v>0.0843102662233807</x:v>
      </x:c>
      <x:c r="M2" s="2" t="n">
        <x:v>0.1782319027962268</x:v>
      </x:c>
      <x:c r="N2" s="14" t="b">
        <x:v>0</x:v>
      </x:c>
      <x:c r="O2" s="14" t="b">
        <x:v>0</x:v>
      </x:c>
      <x:c r="P2" s="14" t="b">
        <x:v>0</x:v>
      </x:c>
      <x:c r="Q2" s="14" t="b">
        <x:v>0</x:v>
      </x:c>
      <x:c r="R2" s="14" t="b">
        <x:v>0</x:v>
      </x:c>
      <x:c r="S2" s="14" t="b">
        <x:v>0</x:v>
      </x:c>
    </x:row>
    <x:row r="3" ht="15" hidden="0" customHeight="1">
      <x:c r="A3" s="2" t="str">
        <x:v>SG-MC-05-2025062200</x:v>
      </x:c>
      <x:c r="B3" s="2" t="str">
        <x:v>2025-06-22 00:00:00</x:v>
      </x:c>
      <x:c r="C3" s="2" t="str">
        <x:v>MC-05</x:v>
      </x:c>
      <x:c r="D3" s="2" t="str">
        <x:v>PRD-B</x:v>
      </x:c>
      <x:c r="E3" s="2" t="n">
        <x:v>80.05794482580359</x:v>
      </x:c>
      <x:c r="F3" s="2" t="n">
        <x:v>0.107030741444376</x:v>
      </x:c>
      <x:c r="G3" s="2" t="n">
        <x:v>5</x:v>
      </x:c>
      <x:c r="H3" s="2" t="n">
        <x:v>79.98133298727322</x:v>
      </x:c>
      <x:c r="I3" s="2" t="n">
        <x:v>80.02998001088412</x:v>
      </x:c>
      <x:c r="J3" s="2" t="n">
        <x:v>80.07862703449501</x:v>
      </x:c>
      <x:c r="K3" s="2" t="n">
        <x:v>0</x:v>
      </x:c>
      <x:c r="L3" s="2" t="n">
        <x:v>0.0843102662233807</x:v>
      </x:c>
      <x:c r="M3" s="2" t="n">
        <x:v>0.1782319027962268</x:v>
      </x:c>
      <x:c r="N3" s="14" t="b">
        <x:v>0</x:v>
      </x:c>
      <x:c r="O3" s="14" t="b">
        <x:v>0</x:v>
      </x:c>
      <x:c r="P3" s="14" t="b">
        <x:v>0</x:v>
      </x:c>
      <x:c r="Q3" s="14" t="b">
        <x:v>0</x:v>
      </x:c>
      <x:c r="R3" s="14" t="b">
        <x:v>0</x:v>
      </x:c>
      <x:c r="S3" s="14" t="b">
        <x:v>0</x:v>
      </x:c>
    </x:row>
    <x:row r="4" ht="15" hidden="0" customHeight="1">
      <x:c r="A4" s="2" t="str">
        <x:v>SG-MC-03-2025062200</x:v>
      </x:c>
      <x:c r="B4" s="2" t="str">
        <x:v>2025-06-22 00:00:00</x:v>
      </x:c>
      <x:c r="C4" s="2" t="str">
        <x:v>MC-03</x:v>
      </x:c>
      <x:c r="D4" s="2" t="str">
        <x:v>PRD-D</x:v>
      </x:c>
      <x:c r="E4" s="2" t="n">
        <x:v>60.03578869397368</x:v>
      </x:c>
      <x:c r="F4" s="2" t="n">
        <x:v>0.0888055175973576</x:v>
      </x:c>
      <x:c r="G4" s="2" t="n">
        <x:v>5</x:v>
      </x:c>
      <x:c r="H4" s="2" t="n">
        <x:v>59.9812332134637</x:v>
      </x:c>
      <x:c r="I4" s="2" t="n">
        <x:v>60.03007765222271</x:v>
      </x:c>
      <x:c r="J4" s="2" t="n">
        <x:v>60.07892209098171</x:v>
      </x:c>
      <x:c r="K4" s="2" t="n">
        <x:v>0</x:v>
      </x:c>
      <x:c r="L4" s="2" t="n">
        <x:v>0.0846524068613621</x:v>
      </x:c>
      <x:c r="M4" s="2" t="n">
        <x:v>0.1789551881049196</x:v>
      </x:c>
      <x:c r="N4" s="14" t="b">
        <x:v>0</x:v>
      </x:c>
      <x:c r="O4" s="14" t="b">
        <x:v>0</x:v>
      </x:c>
      <x:c r="P4" s="14" t="b">
        <x:v>0</x:v>
      </x:c>
      <x:c r="Q4" s="14" t="b">
        <x:v>0</x:v>
      </x:c>
      <x:c r="R4" s="14" t="b">
        <x:v>0</x:v>
      </x:c>
      <x:c r="S4" s="14" t="b">
        <x:v>0</x:v>
      </x:c>
    </x:row>
    <x:row r="5" ht="15" hidden="0" customHeight="1">
      <x:c r="A5" s="2" t="str">
        <x:v>SG-MC-07-2025062200</x:v>
      </x:c>
      <x:c r="B5" s="2" t="str">
        <x:v>2025-06-22 00:00:00</x:v>
      </x:c>
      <x:c r="C5" s="2" t="str">
        <x:v>MC-07</x:v>
      </x:c>
      <x:c r="D5" s="2" t="str">
        <x:v>PRD-D</x:v>
      </x:c>
      <x:c r="E5" s="2" t="n">
        <x:v>60.036668563884426</x:v>
      </x:c>
      <x:c r="F5" s="2" t="n">
        <x:v>0.1768359808182893</x:v>
      </x:c>
      <x:c r="G5" s="2" t="n">
        <x:v>5</x:v>
      </x:c>
      <x:c r="H5" s="2" t="n">
        <x:v>59.9812332134637</x:v>
      </x:c>
      <x:c r="I5" s="2" t="n">
        <x:v>60.03007765222271</x:v>
      </x:c>
      <x:c r="J5" s="2" t="n">
        <x:v>60.07892209098171</x:v>
      </x:c>
      <x:c r="K5" s="2" t="n">
        <x:v>0</x:v>
      </x:c>
      <x:c r="L5" s="2" t="n">
        <x:v>0.0846524068613621</x:v>
      </x:c>
      <x:c r="M5" s="2" t="n">
        <x:v>0.1789551881049196</x:v>
      </x:c>
      <x:c r="N5" s="14" t="b">
        <x:v>0</x:v>
      </x:c>
      <x:c r="O5" s="14" t="b">
        <x:v>0</x:v>
      </x:c>
      <x:c r="P5" s="14" t="b">
        <x:v>0</x:v>
      </x:c>
      <x:c r="Q5" s="14" t="b">
        <x:v>0</x:v>
      </x:c>
      <x:c r="R5" s="14" t="b">
        <x:v>0</x:v>
      </x:c>
      <x:c r="S5" s="14" t="b">
        <x:v>0</x:v>
      </x:c>
    </x:row>
    <x:row r="6" ht="15" hidden="0" customHeight="1">
      <x:c r="A6" s="2" t="str">
        <x:v>SG-MC-06-2025062200</x:v>
      </x:c>
      <x:c r="B6" s="2" t="str">
        <x:v>2025-06-22 00:00:00</x:v>
      </x:c>
      <x:c r="C6" s="2" t="str">
        <x:v>MC-06</x:v>
      </x:c>
      <x:c r="D6" s="2" t="str">
        <x:v>PRD-C</x:v>
      </x:c>
      <x:c r="E6" s="2" t="n">
        <x:v>41.99693880674461</x:v>
      </x:c>
      <x:c r="F6" s="2" t="n">
        <x:v>0.0903475348209923</x:v>
      </x:c>
      <x:c r="G6" s="2" t="n">
        <x:v>5</x:v>
      </x:c>
      <x:c r="H6" s="2" t="n">
        <x:v>41.98128274145005</x:v>
      </x:c>
      <x:c r="I6" s="2" t="n">
        <x:v>42.03038150785648</x:v>
      </x:c>
      <x:c r="J6" s="2" t="n">
        <x:v>42.0794802742629</x:v>
      </x:c>
      <x:c r="K6" s="2" t="n">
        <x:v>0</x:v>
      </x:c>
      <x:c r="L6" s="2" t="n">
        <x:v>0.0850931826801104</x:v>
      </x:c>
      <x:c r="M6" s="2" t="n">
        <x:v>0.1798869881857533</x:v>
      </x:c>
      <x:c r="N6" s="14" t="b">
        <x:v>0</x:v>
      </x:c>
      <x:c r="O6" s="14" t="b">
        <x:v>0</x:v>
      </x:c>
      <x:c r="P6" s="14" t="b">
        <x:v>0</x:v>
      </x:c>
      <x:c r="Q6" s="14" t="b">
        <x:v>0</x:v>
      </x:c>
      <x:c r="R6" s="14" t="b">
        <x:v>0</x:v>
      </x:c>
      <x:c r="S6" s="14" t="b">
        <x:v>0</x:v>
      </x:c>
    </x:row>
    <x:row r="7" ht="15" hidden="0" customHeight="1">
      <x:c r="A7" s="2" t="str">
        <x:v>SG-MC-10-2025062200</x:v>
      </x:c>
      <x:c r="B7" s="2" t="str">
        <x:v>2025-06-22 00:00:00</x:v>
      </x:c>
      <x:c r="C7" s="2" t="str">
        <x:v>MC-10</x:v>
      </x:c>
      <x:c r="D7" s="2" t="str">
        <x:v>PRD-C</x:v>
      </x:c>
      <x:c r="E7" s="2" t="n">
        <x:v>42.03496750697313</x:v>
      </x:c>
      <x:c r="F7" s="2" t="n">
        <x:v>0.069103994274883</x:v>
      </x:c>
      <x:c r="G7" s="2" t="n">
        <x:v>5</x:v>
      </x:c>
      <x:c r="H7" s="2" t="n">
        <x:v>41.98128274145005</x:v>
      </x:c>
      <x:c r="I7" s="2" t="n">
        <x:v>42.03038150785648</x:v>
      </x:c>
      <x:c r="J7" s="2" t="n">
        <x:v>42.0794802742629</x:v>
      </x:c>
      <x:c r="K7" s="2" t="n">
        <x:v>0</x:v>
      </x:c>
      <x:c r="L7" s="2" t="n">
        <x:v>0.0850931826801104</x:v>
      </x:c>
      <x:c r="M7" s="2" t="n">
        <x:v>0.1798869881857533</x:v>
      </x:c>
      <x:c r="N7" s="14" t="b">
        <x:v>0</x:v>
      </x:c>
      <x:c r="O7" s="14" t="b">
        <x:v>0</x:v>
      </x:c>
      <x:c r="P7" s="14" t="b">
        <x:v>0</x:v>
      </x:c>
      <x:c r="Q7" s="14" t="b">
        <x:v>0</x:v>
      </x:c>
      <x:c r="R7" s="14" t="b">
        <x:v>0</x:v>
      </x:c>
      <x:c r="S7" s="14" t="b">
        <x:v>0</x:v>
      </x:c>
    </x:row>
    <x:row r="8" ht="15" hidden="0" customHeight="1">
      <x:c r="A8" s="2" t="str">
        <x:v>SG-MC-08-2025062200</x:v>
      </x:c>
      <x:c r="B8" s="2" t="str">
        <x:v>2025-06-22 00:00:00</x:v>
      </x:c>
      <x:c r="C8" s="2" t="str">
        <x:v>MC-08</x:v>
      </x:c>
      <x:c r="D8" s="2" t="str">
        <x:v>PRD-A</x:v>
      </x:c>
      <x:c r="E8" s="2" t="n">
        <x:v>25.048341136644503</x:v>
      </x:c>
      <x:c r="F8" s="2" t="n">
        <x:v>0.072265382594729</x:v>
      </x:c>
      <x:c r="G8" s="2" t="n">
        <x:v>5</x:v>
      </x:c>
      <x:c r="H8" s="2" t="n">
        <x:v>24.98096531359448</x:v>
      </x:c>
      <x:c r="I8" s="2" t="n">
        <x:v>25.029746559290437</x:v>
      </x:c>
      <x:c r="J8" s="2" t="n">
        <x:v>25.07852780498639</x:v>
      </x:c>
      <x:c r="K8" s="2" t="n">
        <x:v>0</x:v>
      </x:c>
      <x:c r="L8" s="2" t="n">
        <x:v>0.0845428868214142</x:v>
      </x:c>
      <x:c r="M8" s="2" t="n">
        <x:v>0.1787236627404697</x:v>
      </x:c>
      <x:c r="N8" s="14" t="b">
        <x:v>0</x:v>
      </x:c>
      <x:c r="O8" s="14" t="b">
        <x:v>0</x:v>
      </x:c>
      <x:c r="P8" s="14" t="b">
        <x:v>0</x:v>
      </x:c>
      <x:c r="Q8" s="14" t="b">
        <x:v>0</x:v>
      </x:c>
      <x:c r="R8" s="14" t="b">
        <x:v>0</x:v>
      </x:c>
      <x:c r="S8" s="14" t="b">
        <x:v>0</x:v>
      </x:c>
    </x:row>
    <x:row r="9" ht="15" hidden="0" customHeight="1">
      <x:c r="A9" s="2" t="str">
        <x:v>SG-MC-04-2025062200</x:v>
      </x:c>
      <x:c r="B9" s="2" t="str">
        <x:v>2025-06-22 00:00:00</x:v>
      </x:c>
      <x:c r="C9" s="2" t="str">
        <x:v>MC-04</x:v>
      </x:c>
      <x:c r="D9" s="2" t="str">
        <x:v>PRD-A</x:v>
      </x:c>
      <x:c r="E9" s="2" t="n">
        <x:v>25.034814719057856</x:v>
      </x:c>
      <x:c r="F9" s="2" t="n">
        <x:v>0.1257347798946533</x:v>
      </x:c>
      <x:c r="G9" s="2" t="n">
        <x:v>5</x:v>
      </x:c>
      <x:c r="H9" s="2" t="n">
        <x:v>24.98096531359448</x:v>
      </x:c>
      <x:c r="I9" s="2" t="n">
        <x:v>25.029746559290437</x:v>
      </x:c>
      <x:c r="J9" s="2" t="n">
        <x:v>25.07852780498639</x:v>
      </x:c>
      <x:c r="K9" s="2" t="n">
        <x:v>0</x:v>
      </x:c>
      <x:c r="L9" s="2" t="n">
        <x:v>0.0845428868214142</x:v>
      </x:c>
      <x:c r="M9" s="2" t="n">
        <x:v>0.1787236627404697</x:v>
      </x:c>
      <x:c r="N9" s="14" t="b">
        <x:v>0</x:v>
      </x:c>
      <x:c r="O9" s="14" t="b">
        <x:v>0</x:v>
      </x:c>
      <x:c r="P9" s="14" t="b">
        <x:v>0</x:v>
      </x:c>
      <x:c r="Q9" s="14" t="b">
        <x:v>0</x:v>
      </x:c>
      <x:c r="R9" s="14" t="b">
        <x:v>0</x:v>
      </x:c>
      <x:c r="S9" s="14" t="b">
        <x:v>0</x:v>
      </x:c>
    </x:row>
    <x:row r="10" ht="15" hidden="0" customHeight="1">
      <x:c r="A10" s="2" t="str">
        <x:v>SG-MC-06-2025062208</x:v>
      </x:c>
      <x:c r="B10" s="2" t="str">
        <x:v>2025-06-22 08:00:00</x:v>
      </x:c>
      <x:c r="C10" s="2" t="str">
        <x:v>MC-06</x:v>
      </x:c>
      <x:c r="D10" s="2" t="str">
        <x:v>PRD-C</x:v>
      </x:c>
      <x:c r="E10" s="2" t="n">
        <x:v>41.9905792758278</x:v>
      </x:c>
      <x:c r="F10" s="2" t="n">
        <x:v>0.0428030205062057</x:v>
      </x:c>
      <x:c r="G10" s="2" t="n">
        <x:v>5</x:v>
      </x:c>
      <x:c r="H10" s="2" t="n">
        <x:v>41.98128274145005</x:v>
      </x:c>
      <x:c r="I10" s="2" t="n">
        <x:v>42.03038150785648</x:v>
      </x:c>
      <x:c r="J10" s="2" t="n">
        <x:v>42.0794802742629</x:v>
      </x:c>
      <x:c r="K10" s="2" t="n">
        <x:v>0</x:v>
      </x:c>
      <x:c r="L10" s="2" t="n">
        <x:v>0.0850931826801104</x:v>
      </x:c>
      <x:c r="M10" s="2" t="n">
        <x:v>0.1798869881857533</x:v>
      </x:c>
      <x:c r="N10" s="14" t="b">
        <x:v>0</x:v>
      </x:c>
      <x:c r="O10" s="14" t="b">
        <x:v>1</x:v>
      </x:c>
      <x:c r="P10" s="14" t="b">
        <x:v>0</x:v>
      </x:c>
      <x:c r="Q10" s="14" t="b">
        <x:v>0</x:v>
      </x:c>
      <x:c r="R10" s="14" t="b">
        <x:v>1</x:v>
      </x:c>
      <x:c r="S10" s="14" t="b">
        <x:v>0</x:v>
      </x:c>
    </x:row>
    <x:row r="11" ht="15" hidden="0" customHeight="1">
      <x:c r="A11" s="2" t="str">
        <x:v>SG-MC-08-2025062208</x:v>
      </x:c>
      <x:c r="B11" s="2" t="str">
        <x:v>2025-06-22 08:00:00</x:v>
      </x:c>
      <x:c r="C11" s="2" t="str">
        <x:v>MC-08</x:v>
      </x:c>
      <x:c r="D11" s="2" t="str">
        <x:v>PRD-A</x:v>
      </x:c>
      <x:c r="E11" s="2" t="n">
        <x:v>25.05415876765537</x:v>
      </x:c>
      <x:c r="F11" s="2" t="n">
        <x:v>0.1487363775805477</x:v>
      </x:c>
      <x:c r="G11" s="2" t="n">
        <x:v>5</x:v>
      </x:c>
      <x:c r="H11" s="2" t="n">
        <x:v>24.98096531359448</x:v>
      </x:c>
      <x:c r="I11" s="2" t="n">
        <x:v>25.029746559290437</x:v>
      </x:c>
      <x:c r="J11" s="2" t="n">
        <x:v>25.07852780498639</x:v>
      </x:c>
      <x:c r="K11" s="2" t="n">
        <x:v>0</x:v>
      </x:c>
      <x:c r="L11" s="2" t="n">
        <x:v>0.0845428868214142</x:v>
      </x:c>
      <x:c r="M11" s="2" t="n">
        <x:v>0.1787236627404697</x:v>
      </x:c>
      <x:c r="N11" s="14" t="b">
        <x:v>0</x:v>
      </x:c>
      <x:c r="O11" s="14" t="b">
        <x:v>0</x:v>
      </x:c>
      <x:c r="P11" s="14" t="b">
        <x:v>0</x:v>
      </x:c>
      <x:c r="Q11" s="14" t="b">
        <x:v>0</x:v>
      </x:c>
      <x:c r="R11" s="14" t="b">
        <x:v>0</x:v>
      </x:c>
      <x:c r="S11" s="14" t="b">
        <x:v>0</x:v>
      </x:c>
    </x:row>
    <x:row r="12" ht="15" hidden="0" customHeight="1">
      <x:c r="A12" s="2" t="str">
        <x:v>SG-MC-09-2025062208</x:v>
      </x:c>
      <x:c r="B12" s="2" t="str">
        <x:v>2025-06-22 08:00:00</x:v>
      </x:c>
      <x:c r="C12" s="2" t="str">
        <x:v>MC-09</x:v>
      </x:c>
      <x:c r="D12" s="2" t="str">
        <x:v>PRD-B</x:v>
      </x:c>
      <x:c r="E12" s="2" t="n">
        <x:v>80.04574121060448</x:v>
      </x:c>
      <x:c r="F12" s="2" t="n">
        <x:v>0.1343968218201894</x:v>
      </x:c>
      <x:c r="G12" s="2" t="n">
        <x:v>5</x:v>
      </x:c>
      <x:c r="H12" s="2" t="n">
        <x:v>79.98133298727322</x:v>
      </x:c>
      <x:c r="I12" s="2" t="n">
        <x:v>80.02998001088412</x:v>
      </x:c>
      <x:c r="J12" s="2" t="n">
        <x:v>80.07862703449501</x:v>
      </x:c>
      <x:c r="K12" s="2" t="n">
        <x:v>0</x:v>
      </x:c>
      <x:c r="L12" s="2" t="n">
        <x:v>0.0843102662233807</x:v>
      </x:c>
      <x:c r="M12" s="2" t="n">
        <x:v>0.1782319027962268</x:v>
      </x:c>
      <x:c r="N12" s="14" t="b">
        <x:v>0</x:v>
      </x:c>
      <x:c r="O12" s="14" t="b">
        <x:v>0</x:v>
      </x:c>
      <x:c r="P12" s="14" t="b">
        <x:v>0</x:v>
      </x:c>
      <x:c r="Q12" s="14" t="b">
        <x:v>0</x:v>
      </x:c>
      <x:c r="R12" s="14" t="b">
        <x:v>0</x:v>
      </x:c>
      <x:c r="S12" s="14" t="b">
        <x:v>0</x:v>
      </x:c>
    </x:row>
    <x:row r="13" ht="15" hidden="0" customHeight="1">
      <x:c r="A13" s="2" t="str">
        <x:v>SG-MC-01-2025062208</x:v>
      </x:c>
      <x:c r="B13" s="2" t="str">
        <x:v>2025-06-22 08:00:00</x:v>
      </x:c>
      <x:c r="C13" s="2" t="str">
        <x:v>MC-01</x:v>
      </x:c>
      <x:c r="D13" s="2" t="str">
        <x:v>PRD-B</x:v>
      </x:c>
      <x:c r="E13" s="2" t="n">
        <x:v>79.99626450608835</x:v>
      </x:c>
      <x:c r="F13" s="2" t="n">
        <x:v>0.082859883946341</x:v>
      </x:c>
      <x:c r="G13" s="2" t="n">
        <x:v>5</x:v>
      </x:c>
      <x:c r="H13" s="2" t="n">
        <x:v>79.98133298727322</x:v>
      </x:c>
      <x:c r="I13" s="2" t="n">
        <x:v>80.02998001088412</x:v>
      </x:c>
      <x:c r="J13" s="2" t="n">
        <x:v>80.07862703449501</x:v>
      </x:c>
      <x:c r="K13" s="2" t="n">
        <x:v>0</x:v>
      </x:c>
      <x:c r="L13" s="2" t="n">
        <x:v>0.0843102662233807</x:v>
      </x:c>
      <x:c r="M13" s="2" t="n">
        <x:v>0.1782319027962268</x:v>
      </x:c>
      <x:c r="N13" s="14" t="b">
        <x:v>0</x:v>
      </x:c>
      <x:c r="O13" s="14" t="b">
        <x:v>0</x:v>
      </x:c>
      <x:c r="P13" s="14" t="b">
        <x:v>0</x:v>
      </x:c>
      <x:c r="Q13" s="14" t="b">
        <x:v>0</x:v>
      </x:c>
      <x:c r="R13" s="14" t="b">
        <x:v>0</x:v>
      </x:c>
      <x:c r="S13" s="14" t="b">
        <x:v>0</x:v>
      </x:c>
    </x:row>
    <x:row r="14" ht="15" hidden="0" customHeight="1">
      <x:c r="A14" s="2" t="str">
        <x:v>SG-MC-05-2025062208</x:v>
      </x:c>
      <x:c r="B14" s="2" t="str">
        <x:v>2025-06-22 08:00:00</x:v>
      </x:c>
      <x:c r="C14" s="2" t="str">
        <x:v>MC-05</x:v>
      </x:c>
      <x:c r="D14" s="2" t="str">
        <x:v>PRD-B</x:v>
      </x:c>
      <x:c r="E14" s="2" t="n">
        <x:v>80.02607221809114</x:v>
      </x:c>
      <x:c r="F14" s="2" t="n">
        <x:v>0.0402522212778535</x:v>
      </x:c>
      <x:c r="G14" s="2" t="n">
        <x:v>5</x:v>
      </x:c>
      <x:c r="H14" s="2" t="n">
        <x:v>79.98133298727322</x:v>
      </x:c>
      <x:c r="I14" s="2" t="n">
        <x:v>80.02998001088412</x:v>
      </x:c>
      <x:c r="J14" s="2" t="n">
        <x:v>80.07862703449501</x:v>
      </x:c>
      <x:c r="K14" s="2" t="n">
        <x:v>0</x:v>
      </x:c>
      <x:c r="L14" s="2" t="n">
        <x:v>0.0843102662233807</x:v>
      </x:c>
      <x:c r="M14" s="2" t="n">
        <x:v>0.1782319027962268</x:v>
      </x:c>
      <x:c r="N14" s="14" t="b">
        <x:v>0</x:v>
      </x:c>
      <x:c r="O14" s="14" t="b">
        <x:v>0</x:v>
      </x:c>
      <x:c r="P14" s="14" t="b">
        <x:v>0</x:v>
      </x:c>
      <x:c r="Q14" s="14" t="b">
        <x:v>0</x:v>
      </x:c>
      <x:c r="R14" s="14" t="b">
        <x:v>0</x:v>
      </x:c>
      <x:c r="S14" s="14" t="b">
        <x:v>0</x:v>
      </x:c>
    </x:row>
    <x:row r="15" ht="15" hidden="0" customHeight="1">
      <x:c r="A15" s="2" t="str">
        <x:v>SG-MC-03-2025062208</x:v>
      </x:c>
      <x:c r="B15" s="2" t="str">
        <x:v>2025-06-22 08:00:00</x:v>
      </x:c>
      <x:c r="C15" s="2" t="str">
        <x:v>MC-03</x:v>
      </x:c>
      <x:c r="D15" s="2" t="str">
        <x:v>PRD-D</x:v>
      </x:c>
      <x:c r="E15" s="2" t="n">
        <x:v>60.041694685200106</x:v>
      </x:c>
      <x:c r="F15" s="2" t="n">
        <x:v>0.0422248626544146</x:v>
      </x:c>
      <x:c r="G15" s="2" t="n">
        <x:v>5</x:v>
      </x:c>
      <x:c r="H15" s="2" t="n">
        <x:v>59.9812332134637</x:v>
      </x:c>
      <x:c r="I15" s="2" t="n">
        <x:v>60.03007765222271</x:v>
      </x:c>
      <x:c r="J15" s="2" t="n">
        <x:v>60.07892209098171</x:v>
      </x:c>
      <x:c r="K15" s="2" t="n">
        <x:v>0</x:v>
      </x:c>
      <x:c r="L15" s="2" t="n">
        <x:v>0.0846524068613621</x:v>
      </x:c>
      <x:c r="M15" s="2" t="n">
        <x:v>0.1789551881049196</x:v>
      </x:c>
      <x:c r="N15" s="14" t="b">
        <x:v>0</x:v>
      </x:c>
      <x:c r="O15" s="14" t="b">
        <x:v>0</x:v>
      </x:c>
      <x:c r="P15" s="14" t="b">
        <x:v>0</x:v>
      </x:c>
      <x:c r="Q15" s="14" t="b">
        <x:v>0</x:v>
      </x:c>
      <x:c r="R15" s="14" t="b">
        <x:v>0</x:v>
      </x:c>
      <x:c r="S15" s="14" t="b">
        <x:v>0</x:v>
      </x:c>
    </x:row>
    <x:row r="16" ht="15" hidden="0" customHeight="1">
      <x:c r="A16" s="2" t="str">
        <x:v>SG-MC-11-2025062208</x:v>
      </x:c>
      <x:c r="B16" s="2" t="str">
        <x:v>2025-06-22 08:00:00</x:v>
      </x:c>
      <x:c r="C16" s="2" t="str">
        <x:v>MC-11</x:v>
      </x:c>
      <x:c r="D16" s="2" t="str">
        <x:v>PRD-D</x:v>
      </x:c>
      <x:c r="E16" s="2" t="n">
        <x:v>59.97191392012026</x:v>
      </x:c>
      <x:c r="F16" s="2" t="n">
        <x:v>0.1289010468025182</x:v>
      </x:c>
      <x:c r="G16" s="2" t="n">
        <x:v>5</x:v>
      </x:c>
      <x:c r="H16" s="2" t="n">
        <x:v>59.9812332134637</x:v>
      </x:c>
      <x:c r="I16" s="2" t="n">
        <x:v>60.03007765222271</x:v>
      </x:c>
      <x:c r="J16" s="2" t="n">
        <x:v>60.07892209098171</x:v>
      </x:c>
      <x:c r="K16" s="2" t="n">
        <x:v>0</x:v>
      </x:c>
      <x:c r="L16" s="2" t="n">
        <x:v>0.0846524068613621</x:v>
      </x:c>
      <x:c r="M16" s="2" t="n">
        <x:v>0.1789551881049196</x:v>
      </x:c>
      <x:c r="N16" s="14" t="b">
        <x:v>1</x:v>
      </x:c>
      <x:c r="O16" s="14" t="b">
        <x:v>0</x:v>
      </x:c>
      <x:c r="P16" s="14" t="b">
        <x:v>0</x:v>
      </x:c>
      <x:c r="Q16" s="14" t="b">
        <x:v>0</x:v>
      </x:c>
      <x:c r="R16" s="14" t="b">
        <x:v>1</x:v>
      </x:c>
      <x:c r="S16" s="14" t="b">
        <x:v>0</x:v>
      </x:c>
    </x:row>
    <x:row r="17" ht="15" hidden="0" customHeight="1">
      <x:c r="A17" s="2" t="str">
        <x:v>SG-MC-07-2025062208</x:v>
      </x:c>
      <x:c r="B17" s="2" t="str">
        <x:v>2025-06-22 08:00:00</x:v>
      </x:c>
      <x:c r="C17" s="2" t="str">
        <x:v>MC-07</x:v>
      </x:c>
      <x:c r="D17" s="2" t="str">
        <x:v>PRD-D</x:v>
      </x:c>
      <x:c r="E17" s="2" t="n">
        <x:v>60.05092338849448</x:v>
      </x:c>
      <x:c r="F17" s="2" t="n">
        <x:v>0.1520819390041126</x:v>
      </x:c>
      <x:c r="G17" s="2" t="n">
        <x:v>5</x:v>
      </x:c>
      <x:c r="H17" s="2" t="n">
        <x:v>59.9812332134637</x:v>
      </x:c>
      <x:c r="I17" s="2" t="n">
        <x:v>60.03007765222271</x:v>
      </x:c>
      <x:c r="J17" s="2" t="n">
        <x:v>60.07892209098171</x:v>
      </x:c>
      <x:c r="K17" s="2" t="n">
        <x:v>0</x:v>
      </x:c>
      <x:c r="L17" s="2" t="n">
        <x:v>0.0846524068613621</x:v>
      </x:c>
      <x:c r="M17" s="2" t="n">
        <x:v>0.1789551881049196</x:v>
      </x:c>
      <x:c r="N17" s="14" t="b">
        <x:v>0</x:v>
      </x:c>
      <x:c r="O17" s="14" t="b">
        <x:v>0</x:v>
      </x:c>
      <x:c r="P17" s="14" t="b">
        <x:v>0</x:v>
      </x:c>
      <x:c r="Q17" s="14" t="b">
        <x:v>0</x:v>
      </x:c>
      <x:c r="R17" s="14" t="b">
        <x:v>0</x:v>
      </x:c>
      <x:c r="S17" s="14" t="b">
        <x:v>0</x:v>
      </x:c>
    </x:row>
    <x:row r="18" ht="15" hidden="0" customHeight="1">
      <x:c r="A18" s="2" t="str">
        <x:v>SG-MC-02-2025062208</x:v>
      </x:c>
      <x:c r="B18" s="2" t="str">
        <x:v>2025-06-22 08:00:00</x:v>
      </x:c>
      <x:c r="C18" s="2" t="str">
        <x:v>MC-02</x:v>
      </x:c>
      <x:c r="D18" s="2" t="str">
        <x:v>PRD-C</x:v>
      </x:c>
      <x:c r="E18" s="2" t="n">
        <x:v>42.05347870210649</x:v>
      </x:c>
      <x:c r="F18" s="2" t="n">
        <x:v>0.0939675849027565</x:v>
      </x:c>
      <x:c r="G18" s="2" t="n">
        <x:v>5</x:v>
      </x:c>
      <x:c r="H18" s="2" t="n">
        <x:v>41.98128274145005</x:v>
      </x:c>
      <x:c r="I18" s="2" t="n">
        <x:v>42.03038150785648</x:v>
      </x:c>
      <x:c r="J18" s="2" t="n">
        <x:v>42.0794802742629</x:v>
      </x:c>
      <x:c r="K18" s="2" t="n">
        <x:v>0</x:v>
      </x:c>
      <x:c r="L18" s="2" t="n">
        <x:v>0.0850931826801104</x:v>
      </x:c>
      <x:c r="M18" s="2" t="n">
        <x:v>0.1798869881857533</x:v>
      </x:c>
      <x:c r="N18" s="14" t="b">
        <x:v>0</x:v>
      </x:c>
      <x:c r="O18" s="14" t="b">
        <x:v>0</x:v>
      </x:c>
      <x:c r="P18" s="14" t="b">
        <x:v>0</x:v>
      </x:c>
      <x:c r="Q18" s="14" t="b">
        <x:v>0</x:v>
      </x:c>
      <x:c r="R18" s="14" t="b">
        <x:v>0</x:v>
      </x:c>
      <x:c r="S18" s="14" t="b">
        <x:v>0</x:v>
      </x:c>
    </x:row>
    <x:row r="19" ht="15" hidden="0" customHeight="1">
      <x:c r="A19" s="2" t="str">
        <x:v>SG-MC-10-2025062208</x:v>
      </x:c>
      <x:c r="B19" s="2" t="str">
        <x:v>2025-06-22 08:00:00</x:v>
      </x:c>
      <x:c r="C19" s="2" t="str">
        <x:v>MC-10</x:v>
      </x:c>
      <x:c r="D19" s="2" t="str">
        <x:v>PRD-C</x:v>
      </x:c>
      <x:c r="E19" s="2" t="n">
        <x:v>42.03565569312492</x:v>
      </x:c>
      <x:c r="F19" s="2" t="n">
        <x:v>0.0253151245922751</x:v>
      </x:c>
      <x:c r="G19" s="2" t="n">
        <x:v>5</x:v>
      </x:c>
      <x:c r="H19" s="2" t="n">
        <x:v>41.98128274145005</x:v>
      </x:c>
      <x:c r="I19" s="2" t="n">
        <x:v>42.03038150785648</x:v>
      </x:c>
      <x:c r="J19" s="2" t="n">
        <x:v>42.0794802742629</x:v>
      </x:c>
      <x:c r="K19" s="2" t="n">
        <x:v>0</x:v>
      </x:c>
      <x:c r="L19" s="2" t="n">
        <x:v>0.0850931826801104</x:v>
      </x:c>
      <x:c r="M19" s="2" t="n">
        <x:v>0.1798869881857533</x:v>
      </x:c>
      <x:c r="N19" s="14" t="b">
        <x:v>0</x:v>
      </x:c>
      <x:c r="O19" s="14" t="b">
        <x:v>0</x:v>
      </x:c>
      <x:c r="P19" s="14" t="b">
        <x:v>0</x:v>
      </x:c>
      <x:c r="Q19" s="14" t="b">
        <x:v>0</x:v>
      </x:c>
      <x:c r="R19" s="14" t="b">
        <x:v>0</x:v>
      </x:c>
      <x:c r="S19" s="14" t="b">
        <x:v>0</x:v>
      </x:c>
    </x:row>
    <x:row r="20" ht="15" hidden="0" customHeight="1">
      <x:c r="A20" s="2" t="str">
        <x:v>SG-MC-04-2025062208</x:v>
      </x:c>
      <x:c r="B20" s="2" t="str">
        <x:v>2025-06-22 08:00:00</x:v>
      </x:c>
      <x:c r="C20" s="2" t="str">
        <x:v>MC-04</x:v>
      </x:c>
      <x:c r="D20" s="2" t="str">
        <x:v>PRD-A</x:v>
      </x:c>
      <x:c r="E20" s="2" t="n">
        <x:v>25.03574535468864</x:v>
      </x:c>
      <x:c r="F20" s="2" t="n">
        <x:v>0.0772061771878398</x:v>
      </x:c>
      <x:c r="G20" s="2" t="n">
        <x:v>5</x:v>
      </x:c>
      <x:c r="H20" s="2" t="n">
        <x:v>24.98096531359448</x:v>
      </x:c>
      <x:c r="I20" s="2" t="n">
        <x:v>25.029746559290437</x:v>
      </x:c>
      <x:c r="J20" s="2" t="n">
        <x:v>25.07852780498639</x:v>
      </x:c>
      <x:c r="K20" s="2" t="n">
        <x:v>0</x:v>
      </x:c>
      <x:c r="L20" s="2" t="n">
        <x:v>0.0845428868214142</x:v>
      </x:c>
      <x:c r="M20" s="2" t="n">
        <x:v>0.1787236627404697</x:v>
      </x:c>
      <x:c r="N20" s="14" t="b">
        <x:v>0</x:v>
      </x:c>
      <x:c r="O20" s="14" t="b">
        <x:v>0</x:v>
      </x:c>
      <x:c r="P20" s="14" t="b">
        <x:v>0</x:v>
      </x:c>
      <x:c r="Q20" s="14" t="b">
        <x:v>0</x:v>
      </x:c>
      <x:c r="R20" s="14" t="b">
        <x:v>0</x:v>
      </x:c>
      <x:c r="S20" s="14" t="b">
        <x:v>0</x:v>
      </x:c>
    </x:row>
    <x:row r="21" ht="15" hidden="0" customHeight="1">
      <x:c r="A21" s="2" t="str">
        <x:v>SG-MC-12-2025062208</x:v>
      </x:c>
      <x:c r="B21" s="2" t="str">
        <x:v>2025-06-22 08:00:00</x:v>
      </x:c>
      <x:c r="C21" s="2" t="str">
        <x:v>MC-12</x:v>
      </x:c>
      <x:c r="D21" s="2" t="str">
        <x:v>PRD-A</x:v>
      </x:c>
      <x:c r="E21" s="2" t="n">
        <x:v>24.99450519338735</x:v>
      </x:c>
      <x:c r="F21" s="2" t="n">
        <x:v>0.0376010344912067</x:v>
      </x:c>
      <x:c r="G21" s="2" t="n">
        <x:v>5</x:v>
      </x:c>
      <x:c r="H21" s="2" t="n">
        <x:v>24.98096531359448</x:v>
      </x:c>
      <x:c r="I21" s="2" t="n">
        <x:v>25.029746559290437</x:v>
      </x:c>
      <x:c r="J21" s="2" t="n">
        <x:v>25.07852780498639</x:v>
      </x:c>
      <x:c r="K21" s="2" t="n">
        <x:v>0</x:v>
      </x:c>
      <x:c r="L21" s="2" t="n">
        <x:v>0.0845428868214142</x:v>
      </x:c>
      <x:c r="M21" s="2" t="n">
        <x:v>0.1787236627404697</x:v>
      </x:c>
      <x:c r="N21" s="14" t="b">
        <x:v>0</x:v>
      </x:c>
      <x:c r="O21" s="14" t="b">
        <x:v>0</x:v>
      </x:c>
      <x:c r="P21" s="14" t="b">
        <x:v>0</x:v>
      </x:c>
      <x:c r="Q21" s="14" t="b">
        <x:v>0</x:v>
      </x:c>
      <x:c r="R21" s="14" t="b">
        <x:v>0</x:v>
      </x:c>
      <x:c r="S21" s="14" t="b">
        <x:v>0</x:v>
      </x:c>
    </x:row>
    <x:row r="22" ht="15" hidden="0" customHeight="1">
      <x:c r="A22" s="2" t="str">
        <x:v>SG-MC-05-2025062216</x:v>
      </x:c>
      <x:c r="B22" s="2" t="str">
        <x:v>2025-06-22 16:00:00</x:v>
      </x:c>
      <x:c r="C22" s="2" t="str">
        <x:v>MC-05</x:v>
      </x:c>
      <x:c r="D22" s="2" t="str">
        <x:v>PRD-B</x:v>
      </x:c>
      <x:c r="E22" s="2" t="n">
        <x:v>80.0237122562847</x:v>
      </x:c>
      <x:c r="F22" s="2" t="n">
        <x:v>0.060146808712048</x:v>
      </x:c>
      <x:c r="G22" s="2" t="n">
        <x:v>5</x:v>
      </x:c>
      <x:c r="H22" s="2" t="n">
        <x:v>79.98133298727322</x:v>
      </x:c>
      <x:c r="I22" s="2" t="n">
        <x:v>80.02998001088412</x:v>
      </x:c>
      <x:c r="J22" s="2" t="n">
        <x:v>80.07862703449501</x:v>
      </x:c>
      <x:c r="K22" s="2" t="n">
        <x:v>0</x:v>
      </x:c>
      <x:c r="L22" s="2" t="n">
        <x:v>0.0843102662233807</x:v>
      </x:c>
      <x:c r="M22" s="2" t="n">
        <x:v>0.1782319027962268</x:v>
      </x:c>
      <x:c r="N22" s="14" t="b">
        <x:v>0</x:v>
      </x:c>
      <x:c r="O22" s="14" t="b">
        <x:v>0</x:v>
      </x:c>
      <x:c r="P22" s="14" t="b">
        <x:v>0</x:v>
      </x:c>
      <x:c r="Q22" s="14" t="b">
        <x:v>0</x:v>
      </x:c>
      <x:c r="R22" s="14" t="b">
        <x:v>0</x:v>
      </x:c>
      <x:c r="S22" s="14" t="b">
        <x:v>0</x:v>
      </x:c>
    </x:row>
    <x:row r="23" ht="15" hidden="0" customHeight="1">
      <x:c r="A23" s="2" t="str">
        <x:v>SG-MC-09-2025062216</x:v>
      </x:c>
      <x:c r="B23" s="2" t="str">
        <x:v>2025-06-22 16:00:00</x:v>
      </x:c>
      <x:c r="C23" s="2" t="str">
        <x:v>MC-09</x:v>
      </x:c>
      <x:c r="D23" s="2" t="str">
        <x:v>PRD-B</x:v>
      </x:c>
      <x:c r="E23" s="2" t="n">
        <x:v>80.05789310930906</x:v>
      </x:c>
      <x:c r="F23" s="2" t="n">
        <x:v>0.1063513494352861</x:v>
      </x:c>
      <x:c r="G23" s="2" t="n">
        <x:v>5</x:v>
      </x:c>
      <x:c r="H23" s="2" t="n">
        <x:v>79.98133298727322</x:v>
      </x:c>
      <x:c r="I23" s="2" t="n">
        <x:v>80.02998001088412</x:v>
      </x:c>
      <x:c r="J23" s="2" t="n">
        <x:v>80.07862703449501</x:v>
      </x:c>
      <x:c r="K23" s="2" t="n">
        <x:v>0</x:v>
      </x:c>
      <x:c r="L23" s="2" t="n">
        <x:v>0.0843102662233807</x:v>
      </x:c>
      <x:c r="M23" s="2" t="n">
        <x:v>0.1782319027962268</x:v>
      </x:c>
      <x:c r="N23" s="14" t="b">
        <x:v>0</x:v>
      </x:c>
      <x:c r="O23" s="14" t="b">
        <x:v>0</x:v>
      </x:c>
      <x:c r="P23" s="14" t="b">
        <x:v>0</x:v>
      </x:c>
      <x:c r="Q23" s="14" t="b">
        <x:v>0</x:v>
      </x:c>
      <x:c r="R23" s="14" t="b">
        <x:v>0</x:v>
      </x:c>
      <x:c r="S23" s="14" t="b">
        <x:v>0</x:v>
      </x:c>
    </x:row>
    <x:row r="24" ht="15" hidden="0" customHeight="1">
      <x:c r="A24" s="2" t="str">
        <x:v>SG-MC-12-2025062216</x:v>
      </x:c>
      <x:c r="B24" s="2" t="str">
        <x:v>2025-06-22 16:00:00</x:v>
      </x:c>
      <x:c r="C24" s="2" t="str">
        <x:v>MC-12</x:v>
      </x:c>
      <x:c r="D24" s="2" t="str">
        <x:v>PRD-A</x:v>
      </x:c>
      <x:c r="E24" s="2" t="n">
        <x:v>25.043806411983</x:v>
      </x:c>
      <x:c r="F24" s="2" t="n">
        <x:v>0.0727314755148356</x:v>
      </x:c>
      <x:c r="G24" s="2" t="n">
        <x:v>5</x:v>
      </x:c>
      <x:c r="H24" s="2" t="n">
        <x:v>24.98096531359448</x:v>
      </x:c>
      <x:c r="I24" s="2" t="n">
        <x:v>25.029746559290437</x:v>
      </x:c>
      <x:c r="J24" s="2" t="n">
        <x:v>25.07852780498639</x:v>
      </x:c>
      <x:c r="K24" s="2" t="n">
        <x:v>0</x:v>
      </x:c>
      <x:c r="L24" s="2" t="n">
        <x:v>0.0845428868214142</x:v>
      </x:c>
      <x:c r="M24" s="2" t="n">
        <x:v>0.1787236627404697</x:v>
      </x:c>
      <x:c r="N24" s="14" t="b">
        <x:v>0</x:v>
      </x:c>
      <x:c r="O24" s="14" t="b">
        <x:v>0</x:v>
      </x:c>
      <x:c r="P24" s="14" t="b">
        <x:v>0</x:v>
      </x:c>
      <x:c r="Q24" s="14" t="b">
        <x:v>0</x:v>
      </x:c>
      <x:c r="R24" s="14" t="b">
        <x:v>0</x:v>
      </x:c>
      <x:c r="S24" s="14" t="b">
        <x:v>0</x:v>
      </x:c>
    </x:row>
    <x:row r="25" ht="15" hidden="0" customHeight="1">
      <x:c r="A25" s="2" t="str">
        <x:v>SG-MC-08-2025062216</x:v>
      </x:c>
      <x:c r="B25" s="2" t="str">
        <x:v>2025-06-22 16:00:00</x:v>
      </x:c>
      <x:c r="C25" s="2" t="str">
        <x:v>MC-08</x:v>
      </x:c>
      <x:c r="D25" s="2" t="str">
        <x:v>PRD-A</x:v>
      </x:c>
      <x:c r="E25" s="2" t="n">
        <x:v>25.00403771947089</x:v>
      </x:c>
      <x:c r="F25" s="2" t="n">
        <x:v>0.2007785689801657</x:v>
      </x:c>
      <x:c r="G25" s="2" t="n">
        <x:v>5</x:v>
      </x:c>
      <x:c r="H25" s="2" t="n">
        <x:v>24.98096531359448</x:v>
      </x:c>
      <x:c r="I25" s="2" t="n">
        <x:v>25.029746559290437</x:v>
      </x:c>
      <x:c r="J25" s="2" t="n">
        <x:v>25.07852780498639</x:v>
      </x:c>
      <x:c r="K25" s="2" t="n">
        <x:v>0</x:v>
      </x:c>
      <x:c r="L25" s="2" t="n">
        <x:v>0.0845428868214142</x:v>
      </x:c>
      <x:c r="M25" s="2" t="n">
        <x:v>0.1787236627404697</x:v>
      </x:c>
      <x:c r="N25" s="14" t="b">
        <x:v>0</x:v>
      </x:c>
      <x:c r="O25" s="14" t="b">
        <x:v>0</x:v>
      </x:c>
      <x:c r="P25" s="14" t="b">
        <x:v>0</x:v>
      </x:c>
      <x:c r="Q25" s="14" t="b">
        <x:v>0</x:v>
      </x:c>
      <x:c r="R25" s="14" t="b">
        <x:v>0</x:v>
      </x:c>
      <x:c r="S25" s="14" t="b">
        <x:v>1</x:v>
      </x:c>
    </x:row>
    <x:row r="26" ht="15" hidden="0" customHeight="1">
      <x:c r="A26" s="2" t="str">
        <x:v>SG-MC-04-2025062216</x:v>
      </x:c>
      <x:c r="B26" s="2" t="str">
        <x:v>2025-06-22 16:00:00</x:v>
      </x:c>
      <x:c r="C26" s="2" t="str">
        <x:v>MC-04</x:v>
      </x:c>
      <x:c r="D26" s="2" t="str">
        <x:v>PRD-A</x:v>
      </x:c>
      <x:c r="E26" s="2" t="n">
        <x:v>25.039404460982503</x:v>
      </x:c>
      <x:c r="F26" s="2" t="n">
        <x:v>0.076300878229734</x:v>
      </x:c>
      <x:c r="G26" s="2" t="n">
        <x:v>5</x:v>
      </x:c>
      <x:c r="H26" s="2" t="n">
        <x:v>24.98096531359448</x:v>
      </x:c>
      <x:c r="I26" s="2" t="n">
        <x:v>25.029746559290437</x:v>
      </x:c>
      <x:c r="J26" s="2" t="n">
        <x:v>25.07852780498639</x:v>
      </x:c>
      <x:c r="K26" s="2" t="n">
        <x:v>0</x:v>
      </x:c>
      <x:c r="L26" s="2" t="n">
        <x:v>0.0845428868214142</x:v>
      </x:c>
      <x:c r="M26" s="2" t="n">
        <x:v>0.1787236627404697</x:v>
      </x:c>
      <x:c r="N26" s="14" t="b">
        <x:v>0</x:v>
      </x:c>
      <x:c r="O26" s="14" t="b">
        <x:v>0</x:v>
      </x:c>
      <x:c r="P26" s="14" t="b">
        <x:v>0</x:v>
      </x:c>
      <x:c r="Q26" s="14" t="b">
        <x:v>0</x:v>
      </x:c>
      <x:c r="R26" s="14" t="b">
        <x:v>0</x:v>
      </x:c>
      <x:c r="S26" s="14" t="b">
        <x:v>0</x:v>
      </x:c>
    </x:row>
    <x:row r="27" ht="15" hidden="0" customHeight="1">
      <x:c r="A27" s="2" t="str">
        <x:v>SG-MC-10-2025062216</x:v>
      </x:c>
      <x:c r="B27" s="2" t="str">
        <x:v>2025-06-22 16:00:00</x:v>
      </x:c>
      <x:c r="C27" s="2" t="str">
        <x:v>MC-10</x:v>
      </x:c>
      <x:c r="D27" s="2" t="str">
        <x:v>PRD-C</x:v>
      </x:c>
      <x:c r="E27" s="2" t="n">
        <x:v>42.06531898947342</x:v>
      </x:c>
      <x:c r="F27" s="2" t="n">
        <x:v>0.0726232123029575</x:v>
      </x:c>
      <x:c r="G27" s="2" t="n">
        <x:v>5</x:v>
      </x:c>
      <x:c r="H27" s="2" t="n">
        <x:v>41.98128274145005</x:v>
      </x:c>
      <x:c r="I27" s="2" t="n">
        <x:v>42.03038150785648</x:v>
      </x:c>
      <x:c r="J27" s="2" t="n">
        <x:v>42.0794802742629</x:v>
      </x:c>
      <x:c r="K27" s="2" t="n">
        <x:v>0</x:v>
      </x:c>
      <x:c r="L27" s="2" t="n">
        <x:v>0.0850931826801104</x:v>
      </x:c>
      <x:c r="M27" s="2" t="n">
        <x:v>0.1798869881857533</x:v>
      </x:c>
      <x:c r="N27" s="14" t="b">
        <x:v>0</x:v>
      </x:c>
      <x:c r="O27" s="14" t="b">
        <x:v>0</x:v>
      </x:c>
      <x:c r="P27" s="14" t="b">
        <x:v>0</x:v>
      </x:c>
      <x:c r="Q27" s="14" t="b">
        <x:v>0</x:v>
      </x:c>
      <x:c r="R27" s="14" t="b">
        <x:v>0</x:v>
      </x:c>
      <x:c r="S27" s="14" t="b">
        <x:v>0</x:v>
      </x:c>
    </x:row>
    <x:row r="28" ht="15" hidden="0" customHeight="1">
      <x:c r="A28" s="2" t="str">
        <x:v>SG-MC-02-2025062216</x:v>
      </x:c>
      <x:c r="B28" s="2" t="str">
        <x:v>2025-06-22 16:00:00</x:v>
      </x:c>
      <x:c r="C28" s="2" t="str">
        <x:v>MC-02</x:v>
      </x:c>
      <x:c r="D28" s="2" t="str">
        <x:v>PRD-C</x:v>
      </x:c>
      <x:c r="E28" s="2" t="n">
        <x:v>42.00906045939754</x:v>
      </x:c>
      <x:c r="F28" s="2" t="n">
        <x:v>0.13229222823864</x:v>
      </x:c>
      <x:c r="G28" s="2" t="n">
        <x:v>5</x:v>
      </x:c>
      <x:c r="H28" s="2" t="n">
        <x:v>41.98128274145005</x:v>
      </x:c>
      <x:c r="I28" s="2" t="n">
        <x:v>42.03038150785648</x:v>
      </x:c>
      <x:c r="J28" s="2" t="n">
        <x:v>42.0794802742629</x:v>
      </x:c>
      <x:c r="K28" s="2" t="n">
        <x:v>0</x:v>
      </x:c>
      <x:c r="L28" s="2" t="n">
        <x:v>0.0850931826801104</x:v>
      </x:c>
      <x:c r="M28" s="2" t="n">
        <x:v>0.1798869881857533</x:v>
      </x:c>
      <x:c r="N28" s="14" t="b">
        <x:v>0</x:v>
      </x:c>
      <x:c r="O28" s="14" t="b">
        <x:v>0</x:v>
      </x:c>
      <x:c r="P28" s="14" t="b">
        <x:v>0</x:v>
      </x:c>
      <x:c r="Q28" s="14" t="b">
        <x:v>0</x:v>
      </x:c>
      <x:c r="R28" s="14" t="b">
        <x:v>0</x:v>
      </x:c>
      <x:c r="S28" s="14" t="b">
        <x:v>0</x:v>
      </x:c>
    </x:row>
    <x:row r="29" ht="15" hidden="0" customHeight="1">
      <x:c r="A29" s="2" t="str">
        <x:v>SG-MC-06-2025062216</x:v>
      </x:c>
      <x:c r="B29" s="2" t="str">
        <x:v>2025-06-22 16:00:00</x:v>
      </x:c>
      <x:c r="C29" s="2" t="str">
        <x:v>MC-06</x:v>
      </x:c>
      <x:c r="D29" s="2" t="str">
        <x:v>PRD-C</x:v>
      </x:c>
      <x:c r="E29" s="2" t="n">
        <x:v>42.01541190307698</x:v>
      </x:c>
      <x:c r="F29" s="2" t="n">
        <x:v>0.1133117660001516</x:v>
      </x:c>
      <x:c r="G29" s="2" t="n">
        <x:v>5</x:v>
      </x:c>
      <x:c r="H29" s="2" t="n">
        <x:v>41.98128274145005</x:v>
      </x:c>
      <x:c r="I29" s="2" t="n">
        <x:v>42.03038150785648</x:v>
      </x:c>
      <x:c r="J29" s="2" t="n">
        <x:v>42.0794802742629</x:v>
      </x:c>
      <x:c r="K29" s="2" t="n">
        <x:v>0</x:v>
      </x:c>
      <x:c r="L29" s="2" t="n">
        <x:v>0.0850931826801104</x:v>
      </x:c>
      <x:c r="M29" s="2" t="n">
        <x:v>0.1798869881857533</x:v>
      </x:c>
      <x:c r="N29" s="14" t="b">
        <x:v>0</x:v>
      </x:c>
      <x:c r="O29" s="14" t="b">
        <x:v>0</x:v>
      </x:c>
      <x:c r="P29" s="14" t="b">
        <x:v>0</x:v>
      </x:c>
      <x:c r="Q29" s="14" t="b">
        <x:v>0</x:v>
      </x:c>
      <x:c r="R29" s="14" t="b">
        <x:v>0</x:v>
      </x:c>
      <x:c r="S29" s="14" t="b">
        <x:v>0</x:v>
      </x:c>
    </x:row>
    <x:row r="30" ht="15" hidden="0" customHeight="1">
      <x:c r="A30" s="2" t="str">
        <x:v>SG-MC-11-2025062216</x:v>
      </x:c>
      <x:c r="B30" s="2" t="str">
        <x:v>2025-06-22 16:00:00</x:v>
      </x:c>
      <x:c r="C30" s="2" t="str">
        <x:v>MC-11</x:v>
      </x:c>
      <x:c r="D30" s="2" t="str">
        <x:v>PRD-D</x:v>
      </x:c>
      <x:c r="E30" s="2" t="n">
        <x:v>60.03890672668673</x:v>
      </x:c>
      <x:c r="F30" s="2" t="n">
        <x:v>0.095971540609284</x:v>
      </x:c>
      <x:c r="G30" s="2" t="n">
        <x:v>5</x:v>
      </x:c>
      <x:c r="H30" s="2" t="n">
        <x:v>59.9812332134637</x:v>
      </x:c>
      <x:c r="I30" s="2" t="n">
        <x:v>60.03007765222271</x:v>
      </x:c>
      <x:c r="J30" s="2" t="n">
        <x:v>60.07892209098171</x:v>
      </x:c>
      <x:c r="K30" s="2" t="n">
        <x:v>0</x:v>
      </x:c>
      <x:c r="L30" s="2" t="n">
        <x:v>0.0846524068613621</x:v>
      </x:c>
      <x:c r="M30" s="2" t="n">
        <x:v>0.1789551881049196</x:v>
      </x:c>
      <x:c r="N30" s="14" t="b">
        <x:v>0</x:v>
      </x:c>
      <x:c r="O30" s="14" t="b">
        <x:v>0</x:v>
      </x:c>
      <x:c r="P30" s="14" t="b">
        <x:v>0</x:v>
      </x:c>
      <x:c r="Q30" s="14" t="b">
        <x:v>0</x:v>
      </x:c>
      <x:c r="R30" s="14" t="b">
        <x:v>0</x:v>
      </x:c>
      <x:c r="S30" s="14" t="b">
        <x:v>0</x:v>
      </x:c>
    </x:row>
    <x:row r="31" ht="15" hidden="0" customHeight="1">
      <x:c r="A31" s="2" t="str">
        <x:v>SG-MC-03-2025062216</x:v>
      </x:c>
      <x:c r="B31" s="2" t="str">
        <x:v>2025-06-22 16:00:00</x:v>
      </x:c>
      <x:c r="C31" s="2" t="str">
        <x:v>MC-03</x:v>
      </x:c>
      <x:c r="D31" s="2" t="str">
        <x:v>PRD-D</x:v>
      </x:c>
      <x:c r="E31" s="2" t="n">
        <x:v>60.023382524878784</x:v>
      </x:c>
      <x:c r="F31" s="2" t="n">
        <x:v>0.134154607913004</x:v>
      </x:c>
      <x:c r="G31" s="2" t="n">
        <x:v>5</x:v>
      </x:c>
      <x:c r="H31" s="2" t="n">
        <x:v>59.9812332134637</x:v>
      </x:c>
      <x:c r="I31" s="2" t="n">
        <x:v>60.03007765222271</x:v>
      </x:c>
      <x:c r="J31" s="2" t="n">
        <x:v>60.07892209098171</x:v>
      </x:c>
      <x:c r="K31" s="2" t="n">
        <x:v>0</x:v>
      </x:c>
      <x:c r="L31" s="2" t="n">
        <x:v>0.0846524068613621</x:v>
      </x:c>
      <x:c r="M31" s="2" t="n">
        <x:v>0.1789551881049196</x:v>
      </x:c>
      <x:c r="N31" s="14" t="b">
        <x:v>0</x:v>
      </x:c>
      <x:c r="O31" s="14" t="b">
        <x:v>0</x:v>
      </x:c>
      <x:c r="P31" s="14" t="b">
        <x:v>0</x:v>
      </x:c>
      <x:c r="Q31" s="14" t="b">
        <x:v>0</x:v>
      </x:c>
      <x:c r="R31" s="14" t="b">
        <x:v>0</x:v>
      </x:c>
      <x:c r="S31" s="14" t="b">
        <x:v>0</x:v>
      </x:c>
    </x:row>
    <x:row r="32" ht="15" hidden="0" customHeight="1">
      <x:c r="A32" s="2" t="str">
        <x:v>SG-MC-07-2025062216</x:v>
      </x:c>
      <x:c r="B32" s="2" t="str">
        <x:v>2025-06-22 16:00:00</x:v>
      </x:c>
      <x:c r="C32" s="2" t="str">
        <x:v>MC-07</x:v>
      </x:c>
      <x:c r="D32" s="2" t="str">
        <x:v>PRD-D</x:v>
      </x:c>
      <x:c r="E32" s="2" t="n">
        <x:v>60.06721241507408</x:v>
      </x:c>
      <x:c r="F32" s="2" t="n">
        <x:v>0.0720210715409308</x:v>
      </x:c>
      <x:c r="G32" s="2" t="n">
        <x:v>5</x:v>
      </x:c>
      <x:c r="H32" s="2" t="n">
        <x:v>59.9812332134637</x:v>
      </x:c>
      <x:c r="I32" s="2" t="n">
        <x:v>60.03007765222271</x:v>
      </x:c>
      <x:c r="J32" s="2" t="n">
        <x:v>60.07892209098171</x:v>
      </x:c>
      <x:c r="K32" s="2" t="n">
        <x:v>0</x:v>
      </x:c>
      <x:c r="L32" s="2" t="n">
        <x:v>0.0846524068613621</x:v>
      </x:c>
      <x:c r="M32" s="2" t="n">
        <x:v>0.1789551881049196</x:v>
      </x:c>
      <x:c r="N32" s="14" t="b">
        <x:v>0</x:v>
      </x:c>
      <x:c r="O32" s="14" t="b">
        <x:v>0</x:v>
      </x:c>
      <x:c r="P32" s="14" t="b">
        <x:v>0</x:v>
      </x:c>
      <x:c r="Q32" s="14" t="b">
        <x:v>0</x:v>
      </x:c>
      <x:c r="R32" s="14" t="b">
        <x:v>0</x:v>
      </x:c>
      <x:c r="S32" s="14" t="b">
        <x:v>0</x:v>
      </x:c>
    </x:row>
    <x:row r="33" ht="15" hidden="0" customHeight="1">
      <x:c r="A33" s="2" t="str">
        <x:v>SG-MC-01-2025062216</x:v>
      </x:c>
      <x:c r="B33" s="2" t="str">
        <x:v>2025-06-22 16:00:00</x:v>
      </x:c>
      <x:c r="C33" s="2" t="str">
        <x:v>MC-01</x:v>
      </x:c>
      <x:c r="D33" s="2" t="str">
        <x:v>PRD-B</x:v>
      </x:c>
      <x:c r="E33" s="2" t="n">
        <x:v>79.98244898613919</x:v>
      </x:c>
      <x:c r="F33" s="2" t="n">
        <x:v>0.1026525375885825</x:v>
      </x:c>
      <x:c r="G33" s="2" t="n">
        <x:v>5</x:v>
      </x:c>
      <x:c r="H33" s="2" t="n">
        <x:v>79.98133298727322</x:v>
      </x:c>
      <x:c r="I33" s="2" t="n">
        <x:v>80.02998001088412</x:v>
      </x:c>
      <x:c r="J33" s="2" t="n">
        <x:v>80.07862703449501</x:v>
      </x:c>
      <x:c r="K33" s="2" t="n">
        <x:v>0</x:v>
      </x:c>
      <x:c r="L33" s="2" t="n">
        <x:v>0.0843102662233807</x:v>
      </x:c>
      <x:c r="M33" s="2" t="n">
        <x:v>0.1782319027962268</x:v>
      </x:c>
      <x:c r="N33" s="14" t="b">
        <x:v>0</x:v>
      </x:c>
      <x:c r="O33" s="14" t="b">
        <x:v>0</x:v>
      </x:c>
      <x:c r="P33" s="14" t="b">
        <x:v>0</x:v>
      </x:c>
      <x:c r="Q33" s="14" t="b">
        <x:v>0</x:v>
      </x:c>
      <x:c r="R33" s="14" t="b">
        <x:v>0</x:v>
      </x:c>
      <x:c r="S33" s="14" t="b">
        <x:v>0</x:v>
      </x:c>
    </x:row>
    <x:row r="34" ht="15" hidden="0" customHeight="1">
      <x:c r="A34" s="2" t="str">
        <x:v>SG-MC-10-2025062300</x:v>
      </x:c>
      <x:c r="B34" s="2" t="str">
        <x:v>2025-06-23 00:00:00</x:v>
      </x:c>
      <x:c r="C34" s="2" t="str">
        <x:v>MC-10</x:v>
      </x:c>
      <x:c r="D34" s="2" t="str">
        <x:v>PRD-C</x:v>
      </x:c>
      <x:c r="E34" s="2" t="n">
        <x:v>42.03609808301076</x:v>
      </x:c>
      <x:c r="F34" s="2" t="n">
        <x:v>0.0640541247791972</x:v>
      </x:c>
      <x:c r="G34" s="2" t="n">
        <x:v>5</x:v>
      </x:c>
      <x:c r="H34" s="2" t="n">
        <x:v>41.98128274145005</x:v>
      </x:c>
      <x:c r="I34" s="2" t="n">
        <x:v>42.03038150785648</x:v>
      </x:c>
      <x:c r="J34" s="2" t="n">
        <x:v>42.0794802742629</x:v>
      </x:c>
      <x:c r="K34" s="2" t="n">
        <x:v>0</x:v>
      </x:c>
      <x:c r="L34" s="2" t="n">
        <x:v>0.0850931826801104</x:v>
      </x:c>
      <x:c r="M34" s="2" t="n">
        <x:v>0.1798869881857533</x:v>
      </x:c>
      <x:c r="N34" s="14" t="b">
        <x:v>0</x:v>
      </x:c>
      <x:c r="O34" s="14" t="b">
        <x:v>0</x:v>
      </x:c>
      <x:c r="P34" s="14" t="b">
        <x:v>0</x:v>
      </x:c>
      <x:c r="Q34" s="14" t="b">
        <x:v>0</x:v>
      </x:c>
      <x:c r="R34" s="14" t="b">
        <x:v>0</x:v>
      </x:c>
      <x:c r="S34" s="14" t="b">
        <x:v>0</x:v>
      </x:c>
    </x:row>
    <x:row r="35" ht="15" hidden="0" customHeight="1">
      <x:c r="A35" s="2" t="str">
        <x:v>SG-MC-06-2025062300</x:v>
      </x:c>
      <x:c r="B35" s="2" t="str">
        <x:v>2025-06-23 00:00:00</x:v>
      </x:c>
      <x:c r="C35" s="2" t="str">
        <x:v>MC-06</x:v>
      </x:c>
      <x:c r="D35" s="2" t="str">
        <x:v>PRD-C</x:v>
      </x:c>
      <x:c r="E35" s="2" t="n">
        <x:v>41.99030631123702</x:v>
      </x:c>
      <x:c r="F35" s="2" t="n">
        <x:v>0.0612679329486383</x:v>
      </x:c>
      <x:c r="G35" s="2" t="n">
        <x:v>5</x:v>
      </x:c>
      <x:c r="H35" s="2" t="n">
        <x:v>41.98128274145005</x:v>
      </x:c>
      <x:c r="I35" s="2" t="n">
        <x:v>42.03038150785648</x:v>
      </x:c>
      <x:c r="J35" s="2" t="n">
        <x:v>42.0794802742629</x:v>
      </x:c>
      <x:c r="K35" s="2" t="n">
        <x:v>0</x:v>
      </x:c>
      <x:c r="L35" s="2" t="n">
        <x:v>0.0850931826801104</x:v>
      </x:c>
      <x:c r="M35" s="2" t="n">
        <x:v>0.1798869881857533</x:v>
      </x:c>
      <x:c r="N35" s="14" t="b">
        <x:v>0</x:v>
      </x:c>
      <x:c r="O35" s="14" t="b">
        <x:v>0</x:v>
      </x:c>
      <x:c r="P35" s="14" t="b">
        <x:v>0</x:v>
      </x:c>
      <x:c r="Q35" s="14" t="b">
        <x:v>0</x:v>
      </x:c>
      <x:c r="R35" s="14" t="b">
        <x:v>0</x:v>
      </x:c>
      <x:c r="S35" s="14" t="b">
        <x:v>0</x:v>
      </x:c>
    </x:row>
    <x:row r="36" ht="15" hidden="0" customHeight="1">
      <x:c r="A36" s="2" t="str">
        <x:v>SG-MC-01-2025062300</x:v>
      </x:c>
      <x:c r="B36" s="2" t="str">
        <x:v>2025-06-23 00:00:00</x:v>
      </x:c>
      <x:c r="C36" s="2" t="str">
        <x:v>MC-01</x:v>
      </x:c>
      <x:c r="D36" s="2" t="str">
        <x:v>PRD-B</x:v>
      </x:c>
      <x:c r="E36" s="2" t="n">
        <x:v>79.99618659305659</x:v>
      </x:c>
      <x:c r="F36" s="2" t="n">
        <x:v>0.030639702300732</x:v>
      </x:c>
      <x:c r="G36" s="2" t="n">
        <x:v>5</x:v>
      </x:c>
      <x:c r="H36" s="2" t="n">
        <x:v>79.98133298727322</x:v>
      </x:c>
      <x:c r="I36" s="2" t="n">
        <x:v>80.02998001088412</x:v>
      </x:c>
      <x:c r="J36" s="2" t="n">
        <x:v>80.07862703449501</x:v>
      </x:c>
      <x:c r="K36" s="2" t="n">
        <x:v>0</x:v>
      </x:c>
      <x:c r="L36" s="2" t="n">
        <x:v>0.0843102662233807</x:v>
      </x:c>
      <x:c r="M36" s="2" t="n">
        <x:v>0.1782319027962268</x:v>
      </x:c>
      <x:c r="N36" s="14" t="b">
        <x:v>0</x:v>
      </x:c>
      <x:c r="O36" s="14" t="b">
        <x:v>0</x:v>
      </x:c>
      <x:c r="P36" s="14" t="b">
        <x:v>0</x:v>
      </x:c>
      <x:c r="Q36" s="14" t="b">
        <x:v>0</x:v>
      </x:c>
      <x:c r="R36" s="14" t="b">
        <x:v>0</x:v>
      </x:c>
      <x:c r="S36" s="14" t="b">
        <x:v>0</x:v>
      </x:c>
    </x:row>
    <x:row r="37" ht="15" hidden="0" customHeight="1">
      <x:c r="A37" s="2" t="str">
        <x:v>SG-MC-02-2025062300</x:v>
      </x:c>
      <x:c r="B37" s="2" t="str">
        <x:v>2025-06-23 00:00:00</x:v>
      </x:c>
      <x:c r="C37" s="2" t="str">
        <x:v>MC-02</x:v>
      </x:c>
      <x:c r="D37" s="2" t="str">
        <x:v>PRD-C</x:v>
      </x:c>
      <x:c r="E37" s="2" t="n">
        <x:v>41.97863181088304</x:v>
      </x:c>
      <x:c r="F37" s="2" t="n">
        <x:v>0.0818486039882628</x:v>
      </x:c>
      <x:c r="G37" s="2" t="n">
        <x:v>5</x:v>
      </x:c>
      <x:c r="H37" s="2" t="n">
        <x:v>41.98128274145005</x:v>
      </x:c>
      <x:c r="I37" s="2" t="n">
        <x:v>42.03038150785648</x:v>
      </x:c>
      <x:c r="J37" s="2" t="n">
        <x:v>42.0794802742629</x:v>
      </x:c>
      <x:c r="K37" s="2" t="n">
        <x:v>0</x:v>
      </x:c>
      <x:c r="L37" s="2" t="n">
        <x:v>0.0850931826801104</x:v>
      </x:c>
      <x:c r="M37" s="2" t="n">
        <x:v>0.1798869881857533</x:v>
      </x:c>
      <x:c r="N37" s="14" t="b">
        <x:v>1</x:v>
      </x:c>
      <x:c r="O37" s="14" t="b">
        <x:v>1</x:v>
      </x:c>
      <x:c r="P37" s="14" t="b">
        <x:v>0</x:v>
      </x:c>
      <x:c r="Q37" s="14" t="b">
        <x:v>0</x:v>
      </x:c>
      <x:c r="R37" s="14" t="b">
        <x:v>1</x:v>
      </x:c>
      <x:c r="S37" s="14" t="b">
        <x:v>0</x:v>
      </x:c>
    </x:row>
    <x:row r="38" ht="15" hidden="0" customHeight="1">
      <x:c r="A38" s="2" t="str">
        <x:v>SG-MC-09-2025062300</x:v>
      </x:c>
      <x:c r="B38" s="2" t="str">
        <x:v>2025-06-23 00:00:00</x:v>
      </x:c>
      <x:c r="C38" s="2" t="str">
        <x:v>MC-09</x:v>
      </x:c>
      <x:c r="D38" s="2" t="str">
        <x:v>PRD-B</x:v>
      </x:c>
      <x:c r="E38" s="2" t="n">
        <x:v>80.03660484353426</x:v>
      </x:c>
      <x:c r="F38" s="2" t="n">
        <x:v>0.0976171018551639</x:v>
      </x:c>
      <x:c r="G38" s="2" t="n">
        <x:v>5</x:v>
      </x:c>
      <x:c r="H38" s="2" t="n">
        <x:v>79.98133298727322</x:v>
      </x:c>
      <x:c r="I38" s="2" t="n">
        <x:v>80.02998001088412</x:v>
      </x:c>
      <x:c r="J38" s="2" t="n">
        <x:v>80.07862703449501</x:v>
      </x:c>
      <x:c r="K38" s="2" t="n">
        <x:v>0</x:v>
      </x:c>
      <x:c r="L38" s="2" t="n">
        <x:v>0.0843102662233807</x:v>
      </x:c>
      <x:c r="M38" s="2" t="n">
        <x:v>0.1782319027962268</x:v>
      </x:c>
      <x:c r="N38" s="14" t="b">
        <x:v>0</x:v>
      </x:c>
      <x:c r="O38" s="14" t="b">
        <x:v>0</x:v>
      </x:c>
      <x:c r="P38" s="14" t="b">
        <x:v>0</x:v>
      </x:c>
      <x:c r="Q38" s="14" t="b">
        <x:v>0</x:v>
      </x:c>
      <x:c r="R38" s="14" t="b">
        <x:v>0</x:v>
      </x:c>
      <x:c r="S38" s="14" t="b">
        <x:v>0</x:v>
      </x:c>
    </x:row>
    <x:row r="39" ht="15" hidden="0" customHeight="1">
      <x:c r="A39" s="2" t="str">
        <x:v>SG-MC-05-2025062300</x:v>
      </x:c>
      <x:c r="B39" s="2" t="str">
        <x:v>2025-06-23 00:00:00</x:v>
      </x:c>
      <x:c r="C39" s="2" t="str">
        <x:v>MC-05</x:v>
      </x:c>
      <x:c r="D39" s="2" t="str">
        <x:v>PRD-B</x:v>
      </x:c>
      <x:c r="E39" s="2" t="n">
        <x:v>80.02385905492773</x:v>
      </x:c>
      <x:c r="F39" s="2" t="n">
        <x:v>0.0520458229956091</x:v>
      </x:c>
      <x:c r="G39" s="2" t="n">
        <x:v>5</x:v>
      </x:c>
      <x:c r="H39" s="2" t="n">
        <x:v>79.98133298727322</x:v>
      </x:c>
      <x:c r="I39" s="2" t="n">
        <x:v>80.02998001088412</x:v>
      </x:c>
      <x:c r="J39" s="2" t="n">
        <x:v>80.07862703449501</x:v>
      </x:c>
      <x:c r="K39" s="2" t="n">
        <x:v>0</x:v>
      </x:c>
      <x:c r="L39" s="2" t="n">
        <x:v>0.0843102662233807</x:v>
      </x:c>
      <x:c r="M39" s="2" t="n">
        <x:v>0.1782319027962268</x:v>
      </x:c>
      <x:c r="N39" s="14" t="b">
        <x:v>0</x:v>
      </x:c>
      <x:c r="O39" s="14" t="b">
        <x:v>0</x:v>
      </x:c>
      <x:c r="P39" s="14" t="b">
        <x:v>0</x:v>
      </x:c>
      <x:c r="Q39" s="14" t="b">
        <x:v>0</x:v>
      </x:c>
      <x:c r="R39" s="14" t="b">
        <x:v>0</x:v>
      </x:c>
      <x:c r="S39" s="14" t="b">
        <x:v>0</x:v>
      </x:c>
    </x:row>
    <x:row r="40" ht="15" hidden="0" customHeight="1">
      <x:c r="A40" s="2" t="str">
        <x:v>SG-MC-03-2025062300</x:v>
      </x:c>
      <x:c r="B40" s="2" t="str">
        <x:v>2025-06-23 00:00:00</x:v>
      </x:c>
      <x:c r="C40" s="2" t="str">
        <x:v>MC-03</x:v>
      </x:c>
      <x:c r="D40" s="2" t="str">
        <x:v>PRD-D</x:v>
      </x:c>
      <x:c r="E40" s="2" t="n">
        <x:v>60.060716109410976</x:v>
      </x:c>
      <x:c r="F40" s="2" t="n">
        <x:v>0.0960583153758989</x:v>
      </x:c>
      <x:c r="G40" s="2" t="n">
        <x:v>5</x:v>
      </x:c>
      <x:c r="H40" s="2" t="n">
        <x:v>59.9812332134637</x:v>
      </x:c>
      <x:c r="I40" s="2" t="n">
        <x:v>60.03007765222271</x:v>
      </x:c>
      <x:c r="J40" s="2" t="n">
        <x:v>60.07892209098171</x:v>
      </x:c>
      <x:c r="K40" s="2" t="n">
        <x:v>0</x:v>
      </x:c>
      <x:c r="L40" s="2" t="n">
        <x:v>0.0846524068613621</x:v>
      </x:c>
      <x:c r="M40" s="2" t="n">
        <x:v>0.1789551881049196</x:v>
      </x:c>
      <x:c r="N40" s="14" t="b">
        <x:v>0</x:v>
      </x:c>
      <x:c r="O40" s="14" t="b">
        <x:v>0</x:v>
      </x:c>
      <x:c r="P40" s="14" t="b">
        <x:v>0</x:v>
      </x:c>
      <x:c r="Q40" s="14" t="b">
        <x:v>0</x:v>
      </x:c>
      <x:c r="R40" s="14" t="b">
        <x:v>0</x:v>
      </x:c>
      <x:c r="S40" s="14" t="b">
        <x:v>0</x:v>
      </x:c>
    </x:row>
    <x:row r="41" ht="15" hidden="0" customHeight="1">
      <x:c r="A41" s="2" t="str">
        <x:v>SG-MC-08-2025062300</x:v>
      </x:c>
      <x:c r="B41" s="2" t="str">
        <x:v>2025-06-23 00:00:00</x:v>
      </x:c>
      <x:c r="C41" s="2" t="str">
        <x:v>MC-08</x:v>
      </x:c>
      <x:c r="D41" s="2" t="str">
        <x:v>PRD-A</x:v>
      </x:c>
      <x:c r="E41" s="2" t="n">
        <x:v>25.035781998604385</x:v>
      </x:c>
      <x:c r="F41" s="2" t="n">
        <x:v>0.1023309500722717</x:v>
      </x:c>
      <x:c r="G41" s="2" t="n">
        <x:v>5</x:v>
      </x:c>
      <x:c r="H41" s="2" t="n">
        <x:v>24.98096531359448</x:v>
      </x:c>
      <x:c r="I41" s="2" t="n">
        <x:v>25.029746559290437</x:v>
      </x:c>
      <x:c r="J41" s="2" t="n">
        <x:v>25.07852780498639</x:v>
      </x:c>
      <x:c r="K41" s="2" t="n">
        <x:v>0</x:v>
      </x:c>
      <x:c r="L41" s="2" t="n">
        <x:v>0.0845428868214142</x:v>
      </x:c>
      <x:c r="M41" s="2" t="n">
        <x:v>0.1787236627404697</x:v>
      </x:c>
      <x:c r="N41" s="14" t="b">
        <x:v>0</x:v>
      </x:c>
      <x:c r="O41" s="14" t="b">
        <x:v>0</x:v>
      </x:c>
      <x:c r="P41" s="14" t="b">
        <x:v>0</x:v>
      </x:c>
      <x:c r="Q41" s="14" t="b">
        <x:v>0</x:v>
      </x:c>
      <x:c r="R41" s="14" t="b">
        <x:v>0</x:v>
      </x:c>
      <x:c r="S41" s="14" t="b">
        <x:v>0</x:v>
      </x:c>
    </x:row>
    <x:row r="42" ht="15" hidden="0" customHeight="1">
      <x:c r="A42" s="2" t="str">
        <x:v>SG-MC-04-2025062300</x:v>
      </x:c>
      <x:c r="B42" s="2" t="str">
        <x:v>2025-06-23 00:00:00</x:v>
      </x:c>
      <x:c r="C42" s="2" t="str">
        <x:v>MC-04</x:v>
      </x:c>
      <x:c r="D42" s="2" t="str">
        <x:v>PRD-A</x:v>
      </x:c>
      <x:c r="E42" s="2" t="n">
        <x:v>25.05206257512037</x:v>
      </x:c>
      <x:c r="F42" s="2" t="n">
        <x:v>0.0395622788796359</x:v>
      </x:c>
      <x:c r="G42" s="2" t="n">
        <x:v>5</x:v>
      </x:c>
      <x:c r="H42" s="2" t="n">
        <x:v>24.98096531359448</x:v>
      </x:c>
      <x:c r="I42" s="2" t="n">
        <x:v>25.029746559290437</x:v>
      </x:c>
      <x:c r="J42" s="2" t="n">
        <x:v>25.07852780498639</x:v>
      </x:c>
      <x:c r="K42" s="2" t="n">
        <x:v>0</x:v>
      </x:c>
      <x:c r="L42" s="2" t="n">
        <x:v>0.0845428868214142</x:v>
      </x:c>
      <x:c r="M42" s="2" t="n">
        <x:v>0.1787236627404697</x:v>
      </x:c>
      <x:c r="N42" s="14" t="b">
        <x:v>0</x:v>
      </x:c>
      <x:c r="O42" s="14" t="b">
        <x:v>0</x:v>
      </x:c>
      <x:c r="P42" s="14" t="b">
        <x:v>0</x:v>
      </x:c>
      <x:c r="Q42" s="14" t="b">
        <x:v>0</x:v>
      </x:c>
      <x:c r="R42" s="14" t="b">
        <x:v>0</x:v>
      </x:c>
      <x:c r="S42" s="14" t="b">
        <x:v>0</x:v>
      </x:c>
    </x:row>
    <x:row r="43" ht="15" hidden="0" customHeight="1">
      <x:c r="A43" s="2" t="str">
        <x:v>SG-MC-12-2025062300</x:v>
      </x:c>
      <x:c r="B43" s="2" t="str">
        <x:v>2025-06-23 00:00:00</x:v>
      </x:c>
      <x:c r="C43" s="2" t="str">
        <x:v>MC-12</x:v>
      </x:c>
      <x:c r="D43" s="2" t="str">
        <x:v>PRD-A</x:v>
      </x:c>
      <x:c r="E43" s="2" t="n">
        <x:v>24.99046526283329</x:v>
      </x:c>
      <x:c r="F43" s="2" t="n">
        <x:v>0.0552262311392048</x:v>
      </x:c>
      <x:c r="G43" s="2" t="n">
        <x:v>5</x:v>
      </x:c>
      <x:c r="H43" s="2" t="n">
        <x:v>24.98096531359448</x:v>
      </x:c>
      <x:c r="I43" s="2" t="n">
        <x:v>25.029746559290437</x:v>
      </x:c>
      <x:c r="J43" s="2" t="n">
        <x:v>25.07852780498639</x:v>
      </x:c>
      <x:c r="K43" s="2" t="n">
        <x:v>0</x:v>
      </x:c>
      <x:c r="L43" s="2" t="n">
        <x:v>0.0845428868214142</x:v>
      </x:c>
      <x:c r="M43" s="2" t="n">
        <x:v>0.1787236627404697</x:v>
      </x:c>
      <x:c r="N43" s="14" t="b">
        <x:v>0</x:v>
      </x:c>
      <x:c r="O43" s="14" t="b">
        <x:v>0</x:v>
      </x:c>
      <x:c r="P43" s="14" t="b">
        <x:v>0</x:v>
      </x:c>
      <x:c r="Q43" s="14" t="b">
        <x:v>0</x:v>
      </x:c>
      <x:c r="R43" s="14" t="b">
        <x:v>0</x:v>
      </x:c>
      <x:c r="S43" s="14" t="b">
        <x:v>0</x:v>
      </x:c>
    </x:row>
    <x:row r="44" ht="15" hidden="0" customHeight="1">
      <x:c r="A44" s="2" t="str">
        <x:v>SG-MC-07-2025062300</x:v>
      </x:c>
      <x:c r="B44" s="2" t="str">
        <x:v>2025-06-23 00:00:00</x:v>
      </x:c>
      <x:c r="C44" s="2" t="str">
        <x:v>MC-07</x:v>
      </x:c>
      <x:c r="D44" s="2" t="str">
        <x:v>PRD-D</x:v>
      </x:c>
      <x:c r="E44" s="2" t="n">
        <x:v>60.03783530948884</x:v>
      </x:c>
      <x:c r="F44" s="2" t="n">
        <x:v>0.0685129003144595</x:v>
      </x:c>
      <x:c r="G44" s="2" t="n">
        <x:v>5</x:v>
      </x:c>
      <x:c r="H44" s="2" t="n">
        <x:v>59.9812332134637</x:v>
      </x:c>
      <x:c r="I44" s="2" t="n">
        <x:v>60.03007765222271</x:v>
      </x:c>
      <x:c r="J44" s="2" t="n">
        <x:v>60.07892209098171</x:v>
      </x:c>
      <x:c r="K44" s="2" t="n">
        <x:v>0</x:v>
      </x:c>
      <x:c r="L44" s="2" t="n">
        <x:v>0.0846524068613621</x:v>
      </x:c>
      <x:c r="M44" s="2" t="n">
        <x:v>0.1789551881049196</x:v>
      </x:c>
      <x:c r="N44" s="14" t="b">
        <x:v>0</x:v>
      </x:c>
      <x:c r="O44" s="14" t="b">
        <x:v>0</x:v>
      </x:c>
      <x:c r="P44" s="14" t="b">
        <x:v>0</x:v>
      </x:c>
      <x:c r="Q44" s="14" t="b">
        <x:v>0</x:v>
      </x:c>
      <x:c r="R44" s="14" t="b">
        <x:v>0</x:v>
      </x:c>
      <x:c r="S44" s="14" t="b">
        <x:v>0</x:v>
      </x:c>
    </x:row>
    <x:row r="45" ht="15" hidden="0" customHeight="1">
      <x:c r="A45" s="2" t="str">
        <x:v>SG-MC-11-2025062300</x:v>
      </x:c>
      <x:c r="B45" s="2" t="str">
        <x:v>2025-06-23 00:00:00</x:v>
      </x:c>
      <x:c r="C45" s="2" t="str">
        <x:v>MC-11</x:v>
      </x:c>
      <x:c r="D45" s="2" t="str">
        <x:v>PRD-D</x:v>
      </x:c>
      <x:c r="E45" s="2" t="n">
        <x:v>60.03761697340557</x:v>
      </x:c>
      <x:c r="F45" s="2" t="n">
        <x:v>0.1356534644499021</x:v>
      </x:c>
      <x:c r="G45" s="2" t="n">
        <x:v>5</x:v>
      </x:c>
      <x:c r="H45" s="2" t="n">
        <x:v>59.9812332134637</x:v>
      </x:c>
      <x:c r="I45" s="2" t="n">
        <x:v>60.03007765222271</x:v>
      </x:c>
      <x:c r="J45" s="2" t="n">
        <x:v>60.07892209098171</x:v>
      </x:c>
      <x:c r="K45" s="2" t="n">
        <x:v>0</x:v>
      </x:c>
      <x:c r="L45" s="2" t="n">
        <x:v>0.0846524068613621</x:v>
      </x:c>
      <x:c r="M45" s="2" t="n">
        <x:v>0.1789551881049196</x:v>
      </x:c>
      <x:c r="N45" s="14" t="b">
        <x:v>0</x:v>
      </x:c>
      <x:c r="O45" s="14" t="b">
        <x:v>0</x:v>
      </x:c>
      <x:c r="P45" s="14" t="b">
        <x:v>0</x:v>
      </x:c>
      <x:c r="Q45" s="14" t="b">
        <x:v>0</x:v>
      </x:c>
      <x:c r="R45" s="14" t="b">
        <x:v>0</x:v>
      </x:c>
      <x:c r="S45" s="14" t="b">
        <x:v>0</x:v>
      </x:c>
    </x:row>
    <x:row r="46" ht="15" hidden="0" customHeight="1">
      <x:c r="A46" s="2" t="str">
        <x:v>SG-MC-02-2025062308</x:v>
      </x:c>
      <x:c r="B46" s="2" t="str">
        <x:v>2025-06-23 08:00:00</x:v>
      </x:c>
      <x:c r="C46" s="2" t="str">
        <x:v>MC-02</x:v>
      </x:c>
      <x:c r="D46" s="2" t="str">
        <x:v>PRD-C</x:v>
      </x:c>
      <x:c r="E46" s="2" t="n">
        <x:v>42.028021337068864</x:v>
      </x:c>
      <x:c r="F46" s="2" t="n">
        <x:v>0.0908850812412609</x:v>
      </x:c>
      <x:c r="G46" s="2" t="n">
        <x:v>5</x:v>
      </x:c>
      <x:c r="H46" s="2" t="n">
        <x:v>41.98128274145005</x:v>
      </x:c>
      <x:c r="I46" s="2" t="n">
        <x:v>42.03038150785648</x:v>
      </x:c>
      <x:c r="J46" s="2" t="n">
        <x:v>42.0794802742629</x:v>
      </x:c>
      <x:c r="K46" s="2" t="n">
        <x:v>0</x:v>
      </x:c>
      <x:c r="L46" s="2" t="n">
        <x:v>0.0850931826801104</x:v>
      </x:c>
      <x:c r="M46" s="2" t="n">
        <x:v>0.1798869881857533</x:v>
      </x:c>
      <x:c r="N46" s="14" t="b">
        <x:v>0</x:v>
      </x:c>
      <x:c r="O46" s="14" t="b">
        <x:v>0</x:v>
      </x:c>
      <x:c r="P46" s="14" t="b">
        <x:v>0</x:v>
      </x:c>
      <x:c r="Q46" s="14" t="b">
        <x:v>0</x:v>
      </x:c>
      <x:c r="R46" s="14" t="b">
        <x:v>0</x:v>
      </x:c>
      <x:c r="S46" s="14" t="b">
        <x:v>0</x:v>
      </x:c>
    </x:row>
    <x:row r="47" ht="15" hidden="0" customHeight="1">
      <x:c r="A47" s="2" t="str">
        <x:v>SG-MC-06-2025062308</x:v>
      </x:c>
      <x:c r="B47" s="2" t="str">
        <x:v>2025-06-23 08:00:00</x:v>
      </x:c>
      <x:c r="C47" s="2" t="str">
        <x:v>MC-06</x:v>
      </x:c>
      <x:c r="D47" s="2" t="str">
        <x:v>PRD-C</x:v>
      </x:c>
      <x:c r="E47" s="2" t="n">
        <x:v>42.03621054448461</x:v>
      </x:c>
      <x:c r="F47" s="2" t="n">
        <x:v>0.0949013399726368</x:v>
      </x:c>
      <x:c r="G47" s="2" t="n">
        <x:v>5</x:v>
      </x:c>
      <x:c r="H47" s="2" t="n">
        <x:v>41.98128274145005</x:v>
      </x:c>
      <x:c r="I47" s="2" t="n">
        <x:v>42.03038150785648</x:v>
      </x:c>
      <x:c r="J47" s="2" t="n">
        <x:v>42.0794802742629</x:v>
      </x:c>
      <x:c r="K47" s="2" t="n">
        <x:v>0</x:v>
      </x:c>
      <x:c r="L47" s="2" t="n">
        <x:v>0.0850931826801104</x:v>
      </x:c>
      <x:c r="M47" s="2" t="n">
        <x:v>0.1798869881857533</x:v>
      </x:c>
      <x:c r="N47" s="14" t="b">
        <x:v>0</x:v>
      </x:c>
      <x:c r="O47" s="14" t="b">
        <x:v>0</x:v>
      </x:c>
      <x:c r="P47" s="14" t="b">
        <x:v>0</x:v>
      </x:c>
      <x:c r="Q47" s="14" t="b">
        <x:v>0</x:v>
      </x:c>
      <x:c r="R47" s="14" t="b">
        <x:v>0</x:v>
      </x:c>
      <x:c r="S47" s="14" t="b">
        <x:v>0</x:v>
      </x:c>
    </x:row>
    <x:row r="48" ht="15" hidden="0" customHeight="1">
      <x:c r="A48" s="2" t="str">
        <x:v>SG-MC-10-2025062308</x:v>
      </x:c>
      <x:c r="B48" s="2" t="str">
        <x:v>2025-06-23 08:00:00</x:v>
      </x:c>
      <x:c r="C48" s="2" t="str">
        <x:v>MC-10</x:v>
      </x:c>
      <x:c r="D48" s="2" t="str">
        <x:v>PRD-C</x:v>
      </x:c>
      <x:c r="E48" s="2" t="n">
        <x:v>42.03532999319631</x:v>
      </x:c>
      <x:c r="F48" s="2" t="n">
        <x:v>0.0874611929866162</x:v>
      </x:c>
      <x:c r="G48" s="2" t="n">
        <x:v>5</x:v>
      </x:c>
      <x:c r="H48" s="2" t="n">
        <x:v>41.98128274145005</x:v>
      </x:c>
      <x:c r="I48" s="2" t="n">
        <x:v>42.03038150785648</x:v>
      </x:c>
      <x:c r="J48" s="2" t="n">
        <x:v>42.0794802742629</x:v>
      </x:c>
      <x:c r="K48" s="2" t="n">
        <x:v>0</x:v>
      </x:c>
      <x:c r="L48" s="2" t="n">
        <x:v>0.0850931826801104</x:v>
      </x:c>
      <x:c r="M48" s="2" t="n">
        <x:v>0.1798869881857533</x:v>
      </x:c>
      <x:c r="N48" s="14" t="b">
        <x:v>0</x:v>
      </x:c>
      <x:c r="O48" s="14" t="b">
        <x:v>0</x:v>
      </x:c>
      <x:c r="P48" s="14" t="b">
        <x:v>0</x:v>
      </x:c>
      <x:c r="Q48" s="14" t="b">
        <x:v>0</x:v>
      </x:c>
      <x:c r="R48" s="14" t="b">
        <x:v>0</x:v>
      </x:c>
      <x:c r="S48" s="14" t="b">
        <x:v>0</x:v>
      </x:c>
    </x:row>
    <x:row r="49" ht="15" hidden="0" customHeight="1">
      <x:c r="A49" s="2" t="str">
        <x:v>SG-MC-12-2025062308</x:v>
      </x:c>
      <x:c r="B49" s="2" t="str">
        <x:v>2025-06-23 08:00:00</x:v>
      </x:c>
      <x:c r="C49" s="2" t="str">
        <x:v>MC-12</x:v>
      </x:c>
      <x:c r="D49" s="2" t="str">
        <x:v>PRD-A</x:v>
      </x:c>
      <x:c r="E49" s="2" t="n">
        <x:v>25.00291727251961</x:v>
      </x:c>
      <x:c r="F49" s="2" t="n">
        <x:v>0.0451439041360437</x:v>
      </x:c>
      <x:c r="G49" s="2" t="n">
        <x:v>5</x:v>
      </x:c>
      <x:c r="H49" s="2" t="n">
        <x:v>24.98096531359448</x:v>
      </x:c>
      <x:c r="I49" s="2" t="n">
        <x:v>25.029746559290437</x:v>
      </x:c>
      <x:c r="J49" s="2" t="n">
        <x:v>25.07852780498639</x:v>
      </x:c>
      <x:c r="K49" s="2" t="n">
        <x:v>0</x:v>
      </x:c>
      <x:c r="L49" s="2" t="n">
        <x:v>0.0845428868214142</x:v>
      </x:c>
      <x:c r="M49" s="2" t="n">
        <x:v>0.1787236627404697</x:v>
      </x:c>
      <x:c r="N49" s="14" t="b">
        <x:v>0</x:v>
      </x:c>
      <x:c r="O49" s="14" t="b">
        <x:v>0</x:v>
      </x:c>
      <x:c r="P49" s="14" t="b">
        <x:v>0</x:v>
      </x:c>
      <x:c r="Q49" s="14" t="b">
        <x:v>0</x:v>
      </x:c>
      <x:c r="R49" s="14" t="b">
        <x:v>0</x:v>
      </x:c>
      <x:c r="S49" s="14" t="b">
        <x:v>0</x:v>
      </x:c>
    </x:row>
    <x:row r="50" ht="15" hidden="0" customHeight="1">
      <x:c r="A50" s="2" t="str">
        <x:v>SG-MC-04-2025062308</x:v>
      </x:c>
      <x:c r="B50" s="2" t="str">
        <x:v>2025-06-23 08:00:00</x:v>
      </x:c>
      <x:c r="C50" s="2" t="str">
        <x:v>MC-04</x:v>
      </x:c>
      <x:c r="D50" s="2" t="str">
        <x:v>PRD-A</x:v>
      </x:c>
      <x:c r="E50" s="2" t="n">
        <x:v>25.026409835780687</x:v>
      </x:c>
      <x:c r="F50" s="2" t="n">
        <x:v>0.0149967643681314</x:v>
      </x:c>
      <x:c r="G50" s="2" t="n">
        <x:v>5</x:v>
      </x:c>
      <x:c r="H50" s="2" t="n">
        <x:v>24.98096531359448</x:v>
      </x:c>
      <x:c r="I50" s="2" t="n">
        <x:v>25.029746559290437</x:v>
      </x:c>
      <x:c r="J50" s="2" t="n">
        <x:v>25.07852780498639</x:v>
      </x:c>
      <x:c r="K50" s="2" t="n">
        <x:v>0</x:v>
      </x:c>
      <x:c r="L50" s="2" t="n">
        <x:v>0.0845428868214142</x:v>
      </x:c>
      <x:c r="M50" s="2" t="n">
        <x:v>0.1787236627404697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</x:row>
    <x:row r="51" ht="15" hidden="0" customHeight="1">
      <x:c r="A51" s="2" t="str">
        <x:v>SG-MC-07-2025062308</x:v>
      </x:c>
      <x:c r="B51" s="2" t="str">
        <x:v>2025-06-23 08:00:00</x:v>
      </x:c>
      <x:c r="C51" s="2" t="str">
        <x:v>MC-07</x:v>
      </x:c>
      <x:c r="D51" s="2" t="str">
        <x:v>PRD-D</x:v>
      </x:c>
      <x:c r="E51" s="2" t="n">
        <x:v>60.02865280339182</x:v>
      </x:c>
      <x:c r="F51" s="2" t="n">
        <x:v>0.1376565720191038</x:v>
      </x:c>
      <x:c r="G51" s="2" t="n">
        <x:v>5</x:v>
      </x:c>
      <x:c r="H51" s="2" t="n">
        <x:v>59.9812332134637</x:v>
      </x:c>
      <x:c r="I51" s="2" t="n">
        <x:v>60.03007765222271</x:v>
      </x:c>
      <x:c r="J51" s="2" t="n">
        <x:v>60.07892209098171</x:v>
      </x:c>
      <x:c r="K51" s="2" t="n">
        <x:v>0</x:v>
      </x:c>
      <x:c r="L51" s="2" t="n">
        <x:v>0.0846524068613621</x:v>
      </x:c>
      <x:c r="M51" s="2" t="n">
        <x:v>0.1789551881049196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</x:row>
    <x:row r="52" ht="15" hidden="0" customHeight="1">
      <x:c r="A52" s="2" t="str">
        <x:v>SG-MC-03-2025062308</x:v>
      </x:c>
      <x:c r="B52" s="2" t="str">
        <x:v>2025-06-23 08:00:00</x:v>
      </x:c>
      <x:c r="C52" s="2" t="str">
        <x:v>MC-03</x:v>
      </x:c>
      <x:c r="D52" s="2" t="str">
        <x:v>PRD-D</x:v>
      </x:c>
      <x:c r="E52" s="2" t="n">
        <x:v>60.029018683251614</x:v>
      </x:c>
      <x:c r="F52" s="2" t="n">
        <x:v>0.1086789698096524</x:v>
      </x:c>
      <x:c r="G52" s="2" t="n">
        <x:v>5</x:v>
      </x:c>
      <x:c r="H52" s="2" t="n">
        <x:v>59.9812332134637</x:v>
      </x:c>
      <x:c r="I52" s="2" t="n">
        <x:v>60.03007765222271</x:v>
      </x:c>
      <x:c r="J52" s="2" t="n">
        <x:v>60.07892209098171</x:v>
      </x:c>
      <x:c r="K52" s="2" t="n">
        <x:v>0</x:v>
      </x:c>
      <x:c r="L52" s="2" t="n">
        <x:v>0.0846524068613621</x:v>
      </x:c>
      <x:c r="M52" s="2" t="n">
        <x:v>0.1789551881049196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</x:row>
    <x:row r="53" ht="15" hidden="0" customHeight="1">
      <x:c r="A53" s="2" t="str">
        <x:v>SG-MC-11-2025062308</x:v>
      </x:c>
      <x:c r="B53" s="2" t="str">
        <x:v>2025-06-23 08:00:00</x:v>
      </x:c>
      <x:c r="C53" s="2" t="str">
        <x:v>MC-11</x:v>
      </x:c>
      <x:c r="D53" s="2" t="str">
        <x:v>PRD-D</x:v>
      </x:c>
      <x:c r="E53" s="2" t="n">
        <x:v>59.99453863911149</x:v>
      </x:c>
      <x:c r="F53" s="2" t="n">
        <x:v>0.054776761204998</x:v>
      </x:c>
      <x:c r="G53" s="2" t="n">
        <x:v>5</x:v>
      </x:c>
      <x:c r="H53" s="2" t="n">
        <x:v>59.9812332134637</x:v>
      </x:c>
      <x:c r="I53" s="2" t="n">
        <x:v>60.03007765222271</x:v>
      </x:c>
      <x:c r="J53" s="2" t="n">
        <x:v>60.07892209098171</x:v>
      </x:c>
      <x:c r="K53" s="2" t="n">
        <x:v>0</x:v>
      </x:c>
      <x:c r="L53" s="2" t="n">
        <x:v>0.0846524068613621</x:v>
      </x:c>
      <x:c r="M53" s="2" t="n">
        <x:v>0.1789551881049196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</x:row>
    <x:row r="54" ht="15" hidden="0" customHeight="1">
      <x:c r="A54" s="2" t="str">
        <x:v>SG-MC-08-2025062308</x:v>
      </x:c>
      <x:c r="B54" s="2" t="str">
        <x:v>2025-06-23 08:00:00</x:v>
      </x:c>
      <x:c r="C54" s="2" t="str">
        <x:v>MC-08</x:v>
      </x:c>
      <x:c r="D54" s="2" t="str">
        <x:v>PRD-A</x:v>
      </x:c>
      <x:c r="E54" s="2" t="n">
        <x:v>25.044708948526296</x:v>
      </x:c>
      <x:c r="F54" s="2" t="n">
        <x:v>0.071699317791495</x:v>
      </x:c>
      <x:c r="G54" s="2" t="n">
        <x:v>5</x:v>
      </x:c>
      <x:c r="H54" s="2" t="n">
        <x:v>24.98096531359448</x:v>
      </x:c>
      <x:c r="I54" s="2" t="n">
        <x:v>25.029746559290437</x:v>
      </x:c>
      <x:c r="J54" s="2" t="n">
        <x:v>25.07852780498639</x:v>
      </x:c>
      <x:c r="K54" s="2" t="n">
        <x:v>0</x:v>
      </x:c>
      <x:c r="L54" s="2" t="n">
        <x:v>0.0845428868214142</x:v>
      </x:c>
      <x:c r="M54" s="2" t="n">
        <x:v>0.1787236627404697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</x:row>
    <x:row r="55" ht="15" hidden="0" customHeight="1">
      <x:c r="A55" s="2" t="str">
        <x:v>SG-MC-09-2025062308</x:v>
      </x:c>
      <x:c r="B55" s="2" t="str">
        <x:v>2025-06-23 08:00:00</x:v>
      </x:c>
      <x:c r="C55" s="2" t="str">
        <x:v>MC-09</x:v>
      </x:c>
      <x:c r="D55" s="2" t="str">
        <x:v>PRD-B</x:v>
      </x:c>
      <x:c r="E55" s="2" t="n">
        <x:v>80.03245702063444</x:v>
      </x:c>
      <x:c r="F55" s="2" t="n">
        <x:v>0.0529111187254471</x:v>
      </x:c>
      <x:c r="G55" s="2" t="n">
        <x:v>5</x:v>
      </x:c>
      <x:c r="H55" s="2" t="n">
        <x:v>79.98133298727322</x:v>
      </x:c>
      <x:c r="I55" s="2" t="n">
        <x:v>80.02998001088412</x:v>
      </x:c>
      <x:c r="J55" s="2" t="n">
        <x:v>80.07862703449501</x:v>
      </x:c>
      <x:c r="K55" s="2" t="n">
        <x:v>0</x:v>
      </x:c>
      <x:c r="L55" s="2" t="n">
        <x:v>0.0843102662233807</x:v>
      </x:c>
      <x:c r="M55" s="2" t="n">
        <x:v>0.1782319027962268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</x:row>
    <x:row r="56" ht="15" hidden="0" customHeight="1">
      <x:c r="A56" s="2" t="str">
        <x:v>SG-MC-01-2025062308</x:v>
      </x:c>
      <x:c r="B56" s="2" t="str">
        <x:v>2025-06-23 08:00:00</x:v>
      </x:c>
      <x:c r="C56" s="2" t="str">
        <x:v>MC-01</x:v>
      </x:c>
      <x:c r="D56" s="2" t="str">
        <x:v>PRD-B</x:v>
      </x:c>
      <x:c r="E56" s="2" t="n">
        <x:v>80.03986907531097</x:v>
      </x:c>
      <x:c r="F56" s="2" t="n">
        <x:v>0.0967970335183281</x:v>
      </x:c>
      <x:c r="G56" s="2" t="n">
        <x:v>5</x:v>
      </x:c>
      <x:c r="H56" s="2" t="n">
        <x:v>79.98133298727322</x:v>
      </x:c>
      <x:c r="I56" s="2" t="n">
        <x:v>80.02998001088412</x:v>
      </x:c>
      <x:c r="J56" s="2" t="n">
        <x:v>80.07862703449501</x:v>
      </x:c>
      <x:c r="K56" s="2" t="n">
        <x:v>0</x:v>
      </x:c>
      <x:c r="L56" s="2" t="n">
        <x:v>0.0843102662233807</x:v>
      </x:c>
      <x:c r="M56" s="2" t="n">
        <x:v>0.1782319027962268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</x:row>
    <x:row r="57" ht="15" hidden="0" customHeight="1">
      <x:c r="A57" s="2" t="str">
        <x:v>SG-MC-05-2025062308</x:v>
      </x:c>
      <x:c r="B57" s="2" t="str">
        <x:v>2025-06-23 08:00:00</x:v>
      </x:c>
      <x:c r="C57" s="2" t="str">
        <x:v>MC-05</x:v>
      </x:c>
      <x:c r="D57" s="2" t="str">
        <x:v>PRD-B</x:v>
      </x:c>
      <x:c r="E57" s="2" t="n">
        <x:v>80.04082311634068</x:v>
      </x:c>
      <x:c r="F57" s="2" t="n">
        <x:v>0.1301533111480495</x:v>
      </x:c>
      <x:c r="G57" s="2" t="n">
        <x:v>5</x:v>
      </x:c>
      <x:c r="H57" s="2" t="n">
        <x:v>79.98133298727322</x:v>
      </x:c>
      <x:c r="I57" s="2" t="n">
        <x:v>80.02998001088412</x:v>
      </x:c>
      <x:c r="J57" s="2" t="n">
        <x:v>80.07862703449501</x:v>
      </x:c>
      <x:c r="K57" s="2" t="n">
        <x:v>0</x:v>
      </x:c>
      <x:c r="L57" s="2" t="n">
        <x:v>0.0843102662233807</x:v>
      </x:c>
      <x:c r="M57" s="2" t="n">
        <x:v>0.1782319027962268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</x:row>
    <x:row r="58" ht="15" hidden="0" customHeight="1">
      <x:c r="A58" s="2" t="str">
        <x:v>SG-MC-06-2025062316</x:v>
      </x:c>
      <x:c r="B58" s="2" t="str">
        <x:v>2025-06-23 16:00:00</x:v>
      </x:c>
      <x:c r="C58" s="2" t="str">
        <x:v>MC-06</x:v>
      </x:c>
      <x:c r="D58" s="2" t="str">
        <x:v>PRD-C</x:v>
      </x:c>
      <x:c r="E58" s="2" t="n">
        <x:v>41.99923404638115</x:v>
      </x:c>
      <x:c r="F58" s="2" t="n">
        <x:v>0.1011982979992041</x:v>
      </x:c>
      <x:c r="G58" s="2" t="n">
        <x:v>5</x:v>
      </x:c>
      <x:c r="H58" s="2" t="n">
        <x:v>41.98128274145005</x:v>
      </x:c>
      <x:c r="I58" s="2" t="n">
        <x:v>42.03038150785648</x:v>
      </x:c>
      <x:c r="J58" s="2" t="n">
        <x:v>42.0794802742629</x:v>
      </x:c>
      <x:c r="K58" s="2" t="n">
        <x:v>0</x:v>
      </x:c>
      <x:c r="L58" s="2" t="n">
        <x:v>0.0850931826801104</x:v>
      </x:c>
      <x:c r="M58" s="2" t="n">
        <x:v>0.1798869881857533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</x:row>
    <x:row r="59" ht="15" hidden="0" customHeight="1">
      <x:c r="A59" s="2" t="str">
        <x:v>SG-MC-01-2025062316</x:v>
      </x:c>
      <x:c r="B59" s="2" t="str">
        <x:v>2025-06-23 16:00:00</x:v>
      </x:c>
      <x:c r="C59" s="2" t="str">
        <x:v>MC-01</x:v>
      </x:c>
      <x:c r="D59" s="2" t="str">
        <x:v>PRD-B</x:v>
      </x:c>
      <x:c r="E59" s="2" t="n">
        <x:v>80.02118746435342</x:v>
      </x:c>
      <x:c r="F59" s="2" t="n">
        <x:v>0.0603245845736921</x:v>
      </x:c>
      <x:c r="G59" s="2" t="n">
        <x:v>5</x:v>
      </x:c>
      <x:c r="H59" s="2" t="n">
        <x:v>79.98133298727322</x:v>
      </x:c>
      <x:c r="I59" s="2" t="n">
        <x:v>80.02998001088412</x:v>
      </x:c>
      <x:c r="J59" s="2" t="n">
        <x:v>80.07862703449501</x:v>
      </x:c>
      <x:c r="K59" s="2" t="n">
        <x:v>0</x:v>
      </x:c>
      <x:c r="L59" s="2" t="n">
        <x:v>0.0843102662233807</x:v>
      </x:c>
      <x:c r="M59" s="2" t="n">
        <x:v>0.1782319027962268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</x:row>
    <x:row r="60" ht="15" hidden="0" customHeight="1">
      <x:c r="A60" s="2" t="str">
        <x:v>SG-MC-09-2025062316</x:v>
      </x:c>
      <x:c r="B60" s="2" t="str">
        <x:v>2025-06-23 16:00:00</x:v>
      </x:c>
      <x:c r="C60" s="2" t="str">
        <x:v>MC-09</x:v>
      </x:c>
      <x:c r="D60" s="2" t="str">
        <x:v>PRD-B</x:v>
      </x:c>
      <x:c r="E60" s="2" t="n">
        <x:v>80.02701885972843</x:v>
      </x:c>
      <x:c r="F60" s="2" t="n">
        <x:v>0.0815305316230592</x:v>
      </x:c>
      <x:c r="G60" s="2" t="n">
        <x:v>5</x:v>
      </x:c>
      <x:c r="H60" s="2" t="n">
        <x:v>79.98133298727322</x:v>
      </x:c>
      <x:c r="I60" s="2" t="n">
        <x:v>80.02998001088412</x:v>
      </x:c>
      <x:c r="J60" s="2" t="n">
        <x:v>80.07862703449501</x:v>
      </x:c>
      <x:c r="K60" s="2" t="n">
        <x:v>0</x:v>
      </x:c>
      <x:c r="L60" s="2" t="n">
        <x:v>0.0843102662233807</x:v>
      </x:c>
      <x:c r="M60" s="2" t="n">
        <x:v>0.1782319027962268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</x:row>
    <x:row r="61" ht="15" hidden="0" customHeight="1">
      <x:c r="A61" s="2" t="str">
        <x:v>SG-MC-12-2025062316</x:v>
      </x:c>
      <x:c r="B61" s="2" t="str">
        <x:v>2025-06-23 16:00:00</x:v>
      </x:c>
      <x:c r="C61" s="2" t="str">
        <x:v>MC-12</x:v>
      </x:c>
      <x:c r="D61" s="2" t="str">
        <x:v>PRD-A</x:v>
      </x:c>
      <x:c r="E61" s="2" t="n">
        <x:v>24.99263467268666</x:v>
      </x:c>
      <x:c r="F61" s="2" t="n">
        <x:v>0.0568585059587753</x:v>
      </x:c>
      <x:c r="G61" s="2" t="n">
        <x:v>5</x:v>
      </x:c>
      <x:c r="H61" s="2" t="n">
        <x:v>24.98096531359448</x:v>
      </x:c>
      <x:c r="I61" s="2" t="n">
        <x:v>25.029746559290437</x:v>
      </x:c>
      <x:c r="J61" s="2" t="n">
        <x:v>25.07852780498639</x:v>
      </x:c>
      <x:c r="K61" s="2" t="n">
        <x:v>0</x:v>
      </x:c>
      <x:c r="L61" s="2" t="n">
        <x:v>0.0845428868214142</x:v>
      </x:c>
      <x:c r="M61" s="2" t="n">
        <x:v>0.1787236627404697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</x:row>
    <x:row r="62" ht="15" hidden="0" customHeight="1">
      <x:c r="A62" s="2" t="str">
        <x:v>SG-MC-08-2025062316</x:v>
      </x:c>
      <x:c r="B62" s="2" t="str">
        <x:v>2025-06-23 16:00:00</x:v>
      </x:c>
      <x:c r="C62" s="2" t="str">
        <x:v>MC-08</x:v>
      </x:c>
      <x:c r="D62" s="2" t="str">
        <x:v>PRD-A</x:v>
      </x:c>
      <x:c r="E62" s="2" t="n">
        <x:v>25.009723150329638</x:v>
      </x:c>
      <x:c r="F62" s="2" t="n">
        <x:v>0.027510808634279</x:v>
      </x:c>
      <x:c r="G62" s="2" t="n">
        <x:v>5</x:v>
      </x:c>
      <x:c r="H62" s="2" t="n">
        <x:v>24.98096531359448</x:v>
      </x:c>
      <x:c r="I62" s="2" t="n">
        <x:v>25.029746559290437</x:v>
      </x:c>
      <x:c r="J62" s="2" t="n">
        <x:v>25.07852780498639</x:v>
      </x:c>
      <x:c r="K62" s="2" t="n">
        <x:v>0</x:v>
      </x:c>
      <x:c r="L62" s="2" t="n">
        <x:v>0.0845428868214142</x:v>
      </x:c>
      <x:c r="M62" s="2" t="n">
        <x:v>0.1787236627404697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</x:row>
    <x:row r="63" ht="15" hidden="0" customHeight="1">
      <x:c r="A63" s="2" t="str">
        <x:v>SG-MC-04-2025062316</x:v>
      </x:c>
      <x:c r="B63" s="2" t="str">
        <x:v>2025-06-23 16:00:00</x:v>
      </x:c>
      <x:c r="C63" s="2" t="str">
        <x:v>MC-04</x:v>
      </x:c>
      <x:c r="D63" s="2" t="str">
        <x:v>PRD-A</x:v>
      </x:c>
      <x:c r="E63" s="2" t="n">
        <x:v>25.02586370843874</x:v>
      </x:c>
      <x:c r="F63" s="2" t="n">
        <x:v>0.0524604267880768</x:v>
      </x:c>
      <x:c r="G63" s="2" t="n">
        <x:v>5</x:v>
      </x:c>
      <x:c r="H63" s="2" t="n">
        <x:v>24.98096531359448</x:v>
      </x:c>
      <x:c r="I63" s="2" t="n">
        <x:v>25.029746559290437</x:v>
      </x:c>
      <x:c r="J63" s="2" t="n">
        <x:v>25.07852780498639</x:v>
      </x:c>
      <x:c r="K63" s="2" t="n">
        <x:v>0</x:v>
      </x:c>
      <x:c r="L63" s="2" t="n">
        <x:v>0.0845428868214142</x:v>
      </x:c>
      <x:c r="M63" s="2" t="n">
        <x:v>0.1787236627404697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</x:row>
    <x:row r="64" ht="15" hidden="0" customHeight="1">
      <x:c r="A64" s="2" t="str">
        <x:v>SG-MC-05-2025062316</x:v>
      </x:c>
      <x:c r="B64" s="2" t="str">
        <x:v>2025-06-23 16:00:00</x:v>
      </x:c>
      <x:c r="C64" s="2" t="str">
        <x:v>MC-05</x:v>
      </x:c>
      <x:c r="D64" s="2" t="str">
        <x:v>PRD-B</x:v>
      </x:c>
      <x:c r="E64" s="2" t="n">
        <x:v>80.04484903617032</x:v>
      </x:c>
      <x:c r="F64" s="2" t="n">
        <x:v>0.0886449519729097</x:v>
      </x:c>
      <x:c r="G64" s="2" t="n">
        <x:v>5</x:v>
      </x:c>
      <x:c r="H64" s="2" t="n">
        <x:v>79.98133298727322</x:v>
      </x:c>
      <x:c r="I64" s="2" t="n">
        <x:v>80.02998001088412</x:v>
      </x:c>
      <x:c r="J64" s="2" t="n">
        <x:v>80.07862703449501</x:v>
      </x:c>
      <x:c r="K64" s="2" t="n">
        <x:v>0</x:v>
      </x:c>
      <x:c r="L64" s="2" t="n">
        <x:v>0.0843102662233807</x:v>
      </x:c>
      <x:c r="M64" s="2" t="n">
        <x:v>0.1782319027962268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</x:row>
    <x:row r="65" ht="15" hidden="0" customHeight="1">
      <x:c r="A65" s="2" t="str">
        <x:v>SG-MC-03-2025062316</x:v>
      </x:c>
      <x:c r="B65" s="2" t="str">
        <x:v>2025-06-23 16:00:00</x:v>
      </x:c>
      <x:c r="C65" s="2" t="str">
        <x:v>MC-03</x:v>
      </x:c>
      <x:c r="D65" s="2" t="str">
        <x:v>PRD-D</x:v>
      </x:c>
      <x:c r="E65" s="2" t="n">
        <x:v>60.07868629172492</x:v>
      </x:c>
      <x:c r="F65" s="2" t="n">
        <x:v>0.1073855896587616</x:v>
      </x:c>
      <x:c r="G65" s="2" t="n">
        <x:v>5</x:v>
      </x:c>
      <x:c r="H65" s="2" t="n">
        <x:v>59.9812332134637</x:v>
      </x:c>
      <x:c r="I65" s="2" t="n">
        <x:v>60.03007765222271</x:v>
      </x:c>
      <x:c r="J65" s="2" t="n">
        <x:v>60.07892209098171</x:v>
      </x:c>
      <x:c r="K65" s="2" t="n">
        <x:v>0</x:v>
      </x:c>
      <x:c r="L65" s="2" t="n">
        <x:v>0.0846524068613621</x:v>
      </x:c>
      <x:c r="M65" s="2" t="n">
        <x:v>0.1789551881049196</x:v>
      </x:c>
      <x:c r="N65" s="14" t="b">
        <x:v>0</x:v>
      </x:c>
      <x:c r="O65" s="14" t="b">
        <x:v>1</x:v>
      </x:c>
      <x:c r="P65" s="14" t="b">
        <x:v>0</x:v>
      </x:c>
      <x:c r="Q65" s="14" t="b">
        <x:v>0</x:v>
      </x:c>
      <x:c r="R65" s="14" t="b">
        <x:v>1</x:v>
      </x:c>
      <x:c r="S65" s="14" t="b">
        <x:v>0</x:v>
      </x:c>
    </x:row>
    <x:row r="66" ht="15" hidden="0" customHeight="1">
      <x:c r="A66" s="2" t="str">
        <x:v>SG-MC-02-2025062316</x:v>
      </x:c>
      <x:c r="B66" s="2" t="str">
        <x:v>2025-06-23 16:00:00</x:v>
      </x:c>
      <x:c r="C66" s="2" t="str">
        <x:v>MC-02</x:v>
      </x:c>
      <x:c r="D66" s="2" t="str">
        <x:v>PRD-C</x:v>
      </x:c>
      <x:c r="E66" s="2" t="n">
        <x:v>42.02585911688781</x:v>
      </x:c>
      <x:c r="F66" s="2" t="n">
        <x:v>0.0513813411870955</x:v>
      </x:c>
      <x:c r="G66" s="2" t="n">
        <x:v>5</x:v>
      </x:c>
      <x:c r="H66" s="2" t="n">
        <x:v>41.98128274145005</x:v>
      </x:c>
      <x:c r="I66" s="2" t="n">
        <x:v>42.03038150785648</x:v>
      </x:c>
      <x:c r="J66" s="2" t="n">
        <x:v>42.0794802742629</x:v>
      </x:c>
      <x:c r="K66" s="2" t="n">
        <x:v>0</x:v>
      </x:c>
      <x:c r="L66" s="2" t="n">
        <x:v>0.0850931826801104</x:v>
      </x:c>
      <x:c r="M66" s="2" t="n">
        <x:v>0.1798869881857533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</x:row>
    <x:row r="67" ht="15" hidden="0" customHeight="1">
      <x:c r="A67" s="2" t="str">
        <x:v>SG-MC-10-2025062316</x:v>
      </x:c>
      <x:c r="B67" s="2" t="str">
        <x:v>2025-06-23 16:00:00</x:v>
      </x:c>
      <x:c r="C67" s="2" t="str">
        <x:v>MC-10</x:v>
      </x:c>
      <x:c r="D67" s="2" t="str">
        <x:v>PRD-C</x:v>
      </x:c>
      <x:c r="E67" s="2" t="n">
        <x:v>42.0526226914752</x:v>
      </x:c>
      <x:c r="F67" s="2" t="n">
        <x:v>0.0566956645148692</x:v>
      </x:c>
      <x:c r="G67" s="2" t="n">
        <x:v>5</x:v>
      </x:c>
      <x:c r="H67" s="2" t="n">
        <x:v>41.98128274145005</x:v>
      </x:c>
      <x:c r="I67" s="2" t="n">
        <x:v>42.03038150785648</x:v>
      </x:c>
      <x:c r="J67" s="2" t="n">
        <x:v>42.0794802742629</x:v>
      </x:c>
      <x:c r="K67" s="2" t="n">
        <x:v>0</x:v>
      </x:c>
      <x:c r="L67" s="2" t="n">
        <x:v>0.0850931826801104</x:v>
      </x:c>
      <x:c r="M67" s="2" t="n">
        <x:v>0.1798869881857533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</x:row>
    <x:row r="68" ht="15" hidden="0" customHeight="1">
      <x:c r="A68" s="2" t="str">
        <x:v>SG-MC-07-2025062316</x:v>
      </x:c>
      <x:c r="B68" s="2" t="str">
        <x:v>2025-06-23 16:00:00</x:v>
      </x:c>
      <x:c r="C68" s="2" t="str">
        <x:v>MC-07</x:v>
      </x:c>
      <x:c r="D68" s="2" t="str">
        <x:v>PRD-D</x:v>
      </x:c>
      <x:c r="E68" s="2" t="n">
        <x:v>60.08743668113177</x:v>
      </x:c>
      <x:c r="F68" s="2" t="n">
        <x:v>0.1503346556468372</x:v>
      </x:c>
      <x:c r="G68" s="2" t="n">
        <x:v>5</x:v>
      </x:c>
      <x:c r="H68" s="2" t="n">
        <x:v>59.9812332134637</x:v>
      </x:c>
      <x:c r="I68" s="2" t="n">
        <x:v>60.03007765222271</x:v>
      </x:c>
      <x:c r="J68" s="2" t="n">
        <x:v>60.07892209098171</x:v>
      </x:c>
      <x:c r="K68" s="2" t="n">
        <x:v>0</x:v>
      </x:c>
      <x:c r="L68" s="2" t="n">
        <x:v>0.0846524068613621</x:v>
      </x:c>
      <x:c r="M68" s="2" t="n">
        <x:v>0.1789551881049196</x:v>
      </x:c>
      <x:c r="N68" s="14" t="b">
        <x:v>1</x:v>
      </x:c>
      <x:c r="O68" s="14" t="b">
        <x:v>0</x:v>
      </x:c>
      <x:c r="P68" s="14" t="b">
        <x:v>0</x:v>
      </x:c>
      <x:c r="Q68" s="14" t="b">
        <x:v>0</x:v>
      </x:c>
      <x:c r="R68" s="14" t="b">
        <x:v>1</x:v>
      </x:c>
      <x:c r="S68" s="14" t="b">
        <x:v>0</x:v>
      </x:c>
    </x:row>
    <x:row r="69" ht="15" hidden="0" customHeight="1">
      <x:c r="A69" s="2" t="str">
        <x:v>SG-MC-11-2025062316</x:v>
      </x:c>
      <x:c r="B69" s="2" t="str">
        <x:v>2025-06-23 16:00:00</x:v>
      </x:c>
      <x:c r="C69" s="2" t="str">
        <x:v>MC-11</x:v>
      </x:c>
      <x:c r="D69" s="2" t="str">
        <x:v>PRD-D</x:v>
      </x:c>
      <x:c r="E69" s="2" t="n">
        <x:v>60.0133758471038</x:v>
      </x:c>
      <x:c r="F69" s="2" t="n">
        <x:v>0.0793685524673009</x:v>
      </x:c>
      <x:c r="G69" s="2" t="n">
        <x:v>5</x:v>
      </x:c>
      <x:c r="H69" s="2" t="n">
        <x:v>59.9812332134637</x:v>
      </x:c>
      <x:c r="I69" s="2" t="n">
        <x:v>60.03007765222271</x:v>
      </x:c>
      <x:c r="J69" s="2" t="n">
        <x:v>60.07892209098171</x:v>
      </x:c>
      <x:c r="K69" s="2" t="n">
        <x:v>0</x:v>
      </x:c>
      <x:c r="L69" s="2" t="n">
        <x:v>0.0846524068613621</x:v>
      </x:c>
      <x:c r="M69" s="2" t="n">
        <x:v>0.1789551881049196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</x:row>
    <x:row r="70" ht="15" hidden="0" customHeight="1">
      <x:c r="A70" s="2" t="str">
        <x:v>SG-MC-03-2025062400</x:v>
      </x:c>
      <x:c r="B70" s="2" t="str">
        <x:v>2025-06-24 00:00:00</x:v>
      </x:c>
      <x:c r="C70" s="2" t="str">
        <x:v>MC-03</x:v>
      </x:c>
      <x:c r="D70" s="2" t="str">
        <x:v>PRD-A</x:v>
      </x:c>
      <x:c r="E70" s="2" t="n">
        <x:v>25.05547973967264</x:v>
      </x:c>
      <x:c r="F70" s="2" t="n">
        <x:v>0.1702937411015774</x:v>
      </x:c>
      <x:c r="G70" s="2" t="n">
        <x:v>5</x:v>
      </x:c>
      <x:c r="H70" s="2" t="n">
        <x:v>24.98096531359448</x:v>
      </x:c>
      <x:c r="I70" s="2" t="n">
        <x:v>25.029746559290437</x:v>
      </x:c>
      <x:c r="J70" s="2" t="n">
        <x:v>25.07852780498639</x:v>
      </x:c>
      <x:c r="K70" s="2" t="n">
        <x:v>0</x:v>
      </x:c>
      <x:c r="L70" s="2" t="n">
        <x:v>0.0845428868214142</x:v>
      </x:c>
      <x:c r="M70" s="2" t="n">
        <x:v>0.1787236627404697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</x:row>
    <x:row r="71" ht="15" hidden="0" customHeight="1">
      <x:c r="A71" s="2" t="str">
        <x:v>SG-MC-11-2025062400</x:v>
      </x:c>
      <x:c r="B71" s="2" t="str">
        <x:v>2025-06-24 00:00:00</x:v>
      </x:c>
      <x:c r="C71" s="2" t="str">
        <x:v>MC-11</x:v>
      </x:c>
      <x:c r="D71" s="2" t="str">
        <x:v>PRD-A</x:v>
      </x:c>
      <x:c r="E71" s="2" t="n">
        <x:v>24.987916666096023</x:v>
      </x:c>
      <x:c r="F71" s="2" t="n">
        <x:v>0.0753227733734824</x:v>
      </x:c>
      <x:c r="G71" s="2" t="n">
        <x:v>5</x:v>
      </x:c>
      <x:c r="H71" s="2" t="n">
        <x:v>24.98096531359448</x:v>
      </x:c>
      <x:c r="I71" s="2" t="n">
        <x:v>25.029746559290437</x:v>
      </x:c>
      <x:c r="J71" s="2" t="n">
        <x:v>25.07852780498639</x:v>
      </x:c>
      <x:c r="K71" s="2" t="n">
        <x:v>0</x:v>
      </x:c>
      <x:c r="L71" s="2" t="n">
        <x:v>0.0845428868214142</x:v>
      </x:c>
      <x:c r="M71" s="2" t="n">
        <x:v>0.1787236627404697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</x:row>
    <x:row r="72" ht="15" hidden="0" customHeight="1">
      <x:c r="A72" s="2" t="str">
        <x:v>SG-MC-07-2025062400</x:v>
      </x:c>
      <x:c r="B72" s="2" t="str">
        <x:v>2025-06-24 00:00:00</x:v>
      </x:c>
      <x:c r="C72" s="2" t="str">
        <x:v>MC-07</x:v>
      </x:c>
      <x:c r="D72" s="2" t="str">
        <x:v>PRD-A</x:v>
      </x:c>
      <x:c r="E72" s="2" t="n">
        <x:v>25.061489183304765</x:v>
      </x:c>
      <x:c r="F72" s="2" t="n">
        <x:v>0.0913856280137324</x:v>
      </x:c>
      <x:c r="G72" s="2" t="n">
        <x:v>5</x:v>
      </x:c>
      <x:c r="H72" s="2" t="n">
        <x:v>24.98096531359448</x:v>
      </x:c>
      <x:c r="I72" s="2" t="n">
        <x:v>25.029746559290437</x:v>
      </x:c>
      <x:c r="J72" s="2" t="n">
        <x:v>25.07852780498639</x:v>
      </x:c>
      <x:c r="K72" s="2" t="n">
        <x:v>0</x:v>
      </x:c>
      <x:c r="L72" s="2" t="n">
        <x:v>0.0845428868214142</x:v>
      </x:c>
      <x:c r="M72" s="2" t="n">
        <x:v>0.1787236627404697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</x:row>
    <x:row r="73" ht="15" hidden="0" customHeight="1">
      <x:c r="A73" s="2" t="str">
        <x:v>SG-MC-05-2025062400</x:v>
      </x:c>
      <x:c r="B73" s="2" t="str">
        <x:v>2025-06-24 00:00:00</x:v>
      </x:c>
      <x:c r="C73" s="2" t="str">
        <x:v>MC-05</x:v>
      </x:c>
      <x:c r="D73" s="2" t="str">
        <x:v>PRD-C</x:v>
      </x:c>
      <x:c r="E73" s="2" t="n">
        <x:v>42.03359502357946</x:v>
      </x:c>
      <x:c r="F73" s="2" t="n">
        <x:v>0.0473638141962382</x:v>
      </x:c>
      <x:c r="G73" s="2" t="n">
        <x:v>5</x:v>
      </x:c>
      <x:c r="H73" s="2" t="n">
        <x:v>41.98128274145005</x:v>
      </x:c>
      <x:c r="I73" s="2" t="n">
        <x:v>42.03038150785648</x:v>
      </x:c>
      <x:c r="J73" s="2" t="n">
        <x:v>42.0794802742629</x:v>
      </x:c>
      <x:c r="K73" s="2" t="n">
        <x:v>0</x:v>
      </x:c>
      <x:c r="L73" s="2" t="n">
        <x:v>0.0850931826801104</x:v>
      </x:c>
      <x:c r="M73" s="2" t="n">
        <x:v>0.1798869881857533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</x:row>
    <x:row r="74" ht="15" hidden="0" customHeight="1">
      <x:c r="A74" s="2" t="str">
        <x:v>SG-MC-01-2025062400</x:v>
      </x:c>
      <x:c r="B74" s="2" t="str">
        <x:v>2025-06-24 00:00:00</x:v>
      </x:c>
      <x:c r="C74" s="2" t="str">
        <x:v>MC-01</x:v>
      </x:c>
      <x:c r="D74" s="2" t="str">
        <x:v>PRD-C</x:v>
      </x:c>
      <x:c r="E74" s="2" t="n">
        <x:v>42.01382581711396</x:v>
      </x:c>
      <x:c r="F74" s="2" t="n">
        <x:v>0.0731865261305557</x:v>
      </x:c>
      <x:c r="G74" s="2" t="n">
        <x:v>5</x:v>
      </x:c>
      <x:c r="H74" s="2" t="n">
        <x:v>41.98128274145005</x:v>
      </x:c>
      <x:c r="I74" s="2" t="n">
        <x:v>42.03038150785648</x:v>
      </x:c>
      <x:c r="J74" s="2" t="n">
        <x:v>42.0794802742629</x:v>
      </x:c>
      <x:c r="K74" s="2" t="n">
        <x:v>0</x:v>
      </x:c>
      <x:c r="L74" s="2" t="n">
        <x:v>0.0850931826801104</x:v>
      </x:c>
      <x:c r="M74" s="2" t="n">
        <x:v>0.1798869881857533</x:v>
      </x:c>
      <x:c r="N74" s="14" t="b">
        <x:v>0</x:v>
      </x:c>
      <x:c r="O74" s="14" t="b">
        <x:v>0</x:v>
      </x:c>
      <x:c r="P74" s="14" t="b">
        <x:v>0</x:v>
      </x:c>
      <x:c r="Q74" s="14" t="b">
        <x:v>0</x:v>
      </x:c>
      <x:c r="R74" s="14" t="b">
        <x:v>0</x:v>
      </x:c>
      <x:c r="S74" s="14" t="b">
        <x:v>0</x:v>
      </x:c>
    </x:row>
    <x:row r="75" ht="15" hidden="0" customHeight="1">
      <x:c r="A75" s="2" t="str">
        <x:v>SG-MC-09-2025062400</x:v>
      </x:c>
      <x:c r="B75" s="2" t="str">
        <x:v>2025-06-24 00:00:00</x:v>
      </x:c>
      <x:c r="C75" s="2" t="str">
        <x:v>MC-09</x:v>
      </x:c>
      <x:c r="D75" s="2" t="str">
        <x:v>PRD-C</x:v>
      </x:c>
      <x:c r="E75" s="2" t="n">
        <x:v>42.03448878271467</x:v>
      </x:c>
      <x:c r="F75" s="2" t="n">
        <x:v>0.0591982821805174</x:v>
      </x:c>
      <x:c r="G75" s="2" t="n">
        <x:v>5</x:v>
      </x:c>
      <x:c r="H75" s="2" t="n">
        <x:v>41.98128274145005</x:v>
      </x:c>
      <x:c r="I75" s="2" t="n">
        <x:v>42.03038150785648</x:v>
      </x:c>
      <x:c r="J75" s="2" t="n">
        <x:v>42.0794802742629</x:v>
      </x:c>
      <x:c r="K75" s="2" t="n">
        <x:v>0</x:v>
      </x:c>
      <x:c r="L75" s="2" t="n">
        <x:v>0.0850931826801104</x:v>
      </x:c>
      <x:c r="M75" s="2" t="n">
        <x:v>0.1798869881857533</x:v>
      </x:c>
      <x:c r="N75" s="14" t="b">
        <x:v>0</x:v>
      </x:c>
      <x:c r="O75" s="14" t="b">
        <x:v>0</x:v>
      </x:c>
      <x:c r="P75" s="14" t="b">
        <x:v>0</x:v>
      </x:c>
      <x:c r="Q75" s="14" t="b">
        <x:v>0</x:v>
      </x:c>
      <x:c r="R75" s="14" t="b">
        <x:v>0</x:v>
      </x:c>
      <x:c r="S75" s="14" t="b">
        <x:v>0</x:v>
      </x:c>
    </x:row>
    <x:row r="76" ht="15" hidden="0" customHeight="1">
      <x:c r="A76" s="2" t="str">
        <x:v>SG-MC-04-2025062400</x:v>
      </x:c>
      <x:c r="B76" s="2" t="str">
        <x:v>2025-06-24 00:00:00</x:v>
      </x:c>
      <x:c r="C76" s="2" t="str">
        <x:v>MC-04</x:v>
      </x:c>
      <x:c r="D76" s="2" t="str">
        <x:v>PRD-B</x:v>
      </x:c>
      <x:c r="E76" s="2" t="n">
        <x:v>80.01655989335177</x:v>
      </x:c>
      <x:c r="F76" s="2" t="n">
        <x:v>0.0462252678781993</x:v>
      </x:c>
      <x:c r="G76" s="2" t="n">
        <x:v>5</x:v>
      </x:c>
      <x:c r="H76" s="2" t="n">
        <x:v>79.98133298727322</x:v>
      </x:c>
      <x:c r="I76" s="2" t="n">
        <x:v>80.02998001088412</x:v>
      </x:c>
      <x:c r="J76" s="2" t="n">
        <x:v>80.07862703449501</x:v>
      </x:c>
      <x:c r="K76" s="2" t="n">
        <x:v>0</x:v>
      </x:c>
      <x:c r="L76" s="2" t="n">
        <x:v>0.0843102662233807</x:v>
      </x:c>
      <x:c r="M76" s="2" t="n">
        <x:v>0.1782319027962268</x:v>
      </x:c>
      <x:c r="N76" s="14" t="b">
        <x:v>0</x:v>
      </x:c>
      <x:c r="O76" s="14" t="b">
        <x:v>0</x:v>
      </x:c>
      <x:c r="P76" s="14" t="b">
        <x:v>0</x:v>
      </x:c>
      <x:c r="Q76" s="14" t="b">
        <x:v>0</x:v>
      </x:c>
      <x:c r="R76" s="14" t="b">
        <x:v>0</x:v>
      </x:c>
      <x:c r="S76" s="14" t="b">
        <x:v>0</x:v>
      </x:c>
    </x:row>
    <x:row r="77" ht="15" hidden="0" customHeight="1">
      <x:c r="A77" s="2" t="str">
        <x:v>SG-MC-10-2025062400</x:v>
      </x:c>
      <x:c r="B77" s="2" t="str">
        <x:v>2025-06-24 00:00:00</x:v>
      </x:c>
      <x:c r="C77" s="2" t="str">
        <x:v>MC-10</x:v>
      </x:c>
      <x:c r="D77" s="2" t="str">
        <x:v>PRD-D</x:v>
      </x:c>
      <x:c r="E77" s="2" t="n">
        <x:v>60.03944722864044</x:v>
      </x:c>
      <x:c r="F77" s="2" t="n">
        <x:v>0.0404295675045887</x:v>
      </x:c>
      <x:c r="G77" s="2" t="n">
        <x:v>5</x:v>
      </x:c>
      <x:c r="H77" s="2" t="n">
        <x:v>59.9812332134637</x:v>
      </x:c>
      <x:c r="I77" s="2" t="n">
        <x:v>60.03007765222271</x:v>
      </x:c>
      <x:c r="J77" s="2" t="n">
        <x:v>60.07892209098171</x:v>
      </x:c>
      <x:c r="K77" s="2" t="n">
        <x:v>0</x:v>
      </x:c>
      <x:c r="L77" s="2" t="n">
        <x:v>0.0846524068613621</x:v>
      </x:c>
      <x:c r="M77" s="2" t="n">
        <x:v>0.1789551881049196</x:v>
      </x:c>
      <x:c r="N77" s="14" t="b">
        <x:v>0</x:v>
      </x:c>
      <x:c r="O77" s="14" t="b">
        <x:v>0</x:v>
      </x:c>
      <x:c r="P77" s="14" t="b">
        <x:v>0</x:v>
      </x:c>
      <x:c r="Q77" s="14" t="b">
        <x:v>0</x:v>
      </x:c>
      <x:c r="R77" s="14" t="b">
        <x:v>0</x:v>
      </x:c>
      <x:c r="S77" s="14" t="b">
        <x:v>0</x:v>
      </x:c>
    </x:row>
    <x:row r="78" ht="15" hidden="0" customHeight="1">
      <x:c r="A78" s="2" t="str">
        <x:v>SG-MC-06-2025062400</x:v>
      </x:c>
      <x:c r="B78" s="2" t="str">
        <x:v>2025-06-24 00:00:00</x:v>
      </x:c>
      <x:c r="C78" s="2" t="str">
        <x:v>MC-06</x:v>
      </x:c>
      <x:c r="D78" s="2" t="str">
        <x:v>PRD-D</x:v>
      </x:c>
      <x:c r="E78" s="2" t="n">
        <x:v>59.98779666837813</x:v>
      </x:c>
      <x:c r="F78" s="2" t="n">
        <x:v>0.0760381195022574</x:v>
      </x:c>
      <x:c r="G78" s="2" t="n">
        <x:v>5</x:v>
      </x:c>
      <x:c r="H78" s="2" t="n">
        <x:v>59.9812332134637</x:v>
      </x:c>
      <x:c r="I78" s="2" t="n">
        <x:v>60.03007765222271</x:v>
      </x:c>
      <x:c r="J78" s="2" t="n">
        <x:v>60.07892209098171</x:v>
      </x:c>
      <x:c r="K78" s="2" t="n">
        <x:v>0</x:v>
      </x:c>
      <x:c r="L78" s="2" t="n">
        <x:v>0.0846524068613621</x:v>
      </x:c>
      <x:c r="M78" s="2" t="n">
        <x:v>0.1789551881049196</x:v>
      </x:c>
      <x:c r="N78" s="14" t="b">
        <x:v>0</x:v>
      </x:c>
      <x:c r="O78" s="14" t="b">
        <x:v>0</x:v>
      </x:c>
      <x:c r="P78" s="14" t="b">
        <x:v>0</x:v>
      </x:c>
      <x:c r="Q78" s="14" t="b">
        <x:v>0</x:v>
      </x:c>
      <x:c r="R78" s="14" t="b">
        <x:v>0</x:v>
      </x:c>
      <x:c r="S78" s="14" t="b">
        <x:v>0</x:v>
      </x:c>
    </x:row>
    <x:row r="79" ht="15" hidden="0" customHeight="1">
      <x:c r="A79" s="2" t="str">
        <x:v>SG-MC-02-2025062400</x:v>
      </x:c>
      <x:c r="B79" s="2" t="str">
        <x:v>2025-06-24 00:00:00</x:v>
      </x:c>
      <x:c r="C79" s="2" t="str">
        <x:v>MC-02</x:v>
      </x:c>
      <x:c r="D79" s="2" t="str">
        <x:v>PRD-D</x:v>
      </x:c>
      <x:c r="E79" s="2" t="n">
        <x:v>60.037239540390274</x:v>
      </x:c>
      <x:c r="F79" s="2" t="n">
        <x:v>0.0589806140226158</x:v>
      </x:c>
      <x:c r="G79" s="2" t="n">
        <x:v>5</x:v>
      </x:c>
      <x:c r="H79" s="2" t="n">
        <x:v>59.9812332134637</x:v>
      </x:c>
      <x:c r="I79" s="2" t="n">
        <x:v>60.03007765222271</x:v>
      </x:c>
      <x:c r="J79" s="2" t="n">
        <x:v>60.07892209098171</x:v>
      </x:c>
      <x:c r="K79" s="2" t="n">
        <x:v>0</x:v>
      </x:c>
      <x:c r="L79" s="2" t="n">
        <x:v>0.0846524068613621</x:v>
      </x:c>
      <x:c r="M79" s="2" t="n">
        <x:v>0.1789551881049196</x:v>
      </x:c>
      <x:c r="N79" s="14" t="b">
        <x:v>0</x:v>
      </x:c>
      <x:c r="O79" s="14" t="b">
        <x:v>0</x:v>
      </x:c>
      <x:c r="P79" s="14" t="b">
        <x:v>0</x:v>
      </x:c>
      <x:c r="Q79" s="14" t="b">
        <x:v>0</x:v>
      </x:c>
      <x:c r="R79" s="14" t="b">
        <x:v>0</x:v>
      </x:c>
      <x:c r="S79" s="14" t="b">
        <x:v>0</x:v>
      </x:c>
    </x:row>
    <x:row r="80" ht="15" hidden="0" customHeight="1">
      <x:c r="A80" s="2" t="str">
        <x:v>SG-MC-12-2025062400</x:v>
      </x:c>
      <x:c r="B80" s="2" t="str">
        <x:v>2025-06-24 00:00:00</x:v>
      </x:c>
      <x:c r="C80" s="2" t="str">
        <x:v>MC-12</x:v>
      </x:c>
      <x:c r="D80" s="2" t="str">
        <x:v>PRD-B</x:v>
      </x:c>
      <x:c r="E80" s="2" t="n">
        <x:v>79.99879318614941</x:v>
      </x:c>
      <x:c r="F80" s="2" t="n">
        <x:v>0.0408018174488233</x:v>
      </x:c>
      <x:c r="G80" s="2" t="n">
        <x:v>5</x:v>
      </x:c>
      <x:c r="H80" s="2" t="n">
        <x:v>79.98133298727322</x:v>
      </x:c>
      <x:c r="I80" s="2" t="n">
        <x:v>80.02998001088412</x:v>
      </x:c>
      <x:c r="J80" s="2" t="n">
        <x:v>80.07862703449501</x:v>
      </x:c>
      <x:c r="K80" s="2" t="n">
        <x:v>0</x:v>
      </x:c>
      <x:c r="L80" s="2" t="n">
        <x:v>0.0843102662233807</x:v>
      </x:c>
      <x:c r="M80" s="2" t="n">
        <x:v>0.1782319027962268</x:v>
      </x:c>
      <x:c r="N80" s="14" t="b">
        <x:v>0</x:v>
      </x:c>
      <x:c r="O80" s="14" t="b">
        <x:v>0</x:v>
      </x:c>
      <x:c r="P80" s="14" t="b">
        <x:v>0</x:v>
      </x:c>
      <x:c r="Q80" s="14" t="b">
        <x:v>0</x:v>
      </x:c>
      <x:c r="R80" s="14" t="b">
        <x:v>0</x:v>
      </x:c>
      <x:c r="S80" s="14" t="b">
        <x:v>0</x:v>
      </x:c>
    </x:row>
    <x:row r="81" ht="15" hidden="0" customHeight="1">
      <x:c r="A81" s="2" t="str">
        <x:v>SG-MC-08-2025062400</x:v>
      </x:c>
      <x:c r="B81" s="2" t="str">
        <x:v>2025-06-24 00:00:00</x:v>
      </x:c>
      <x:c r="C81" s="2" t="str">
        <x:v>MC-08</x:v>
      </x:c>
      <x:c r="D81" s="2" t="str">
        <x:v>PRD-B</x:v>
      </x:c>
      <x:c r="E81" s="2" t="n">
        <x:v>80.04208590845784</x:v>
      </x:c>
      <x:c r="F81" s="2" t="n">
        <x:v>0.0911326328618713</x:v>
      </x:c>
      <x:c r="G81" s="2" t="n">
        <x:v>5</x:v>
      </x:c>
      <x:c r="H81" s="2" t="n">
        <x:v>79.98133298727322</x:v>
      </x:c>
      <x:c r="I81" s="2" t="n">
        <x:v>80.02998001088412</x:v>
      </x:c>
      <x:c r="J81" s="2" t="n">
        <x:v>80.07862703449501</x:v>
      </x:c>
      <x:c r="K81" s="2" t="n">
        <x:v>0</x:v>
      </x:c>
      <x:c r="L81" s="2" t="n">
        <x:v>0.0843102662233807</x:v>
      </x:c>
      <x:c r="M81" s="2" t="n">
        <x:v>0.1782319027962268</x:v>
      </x:c>
      <x:c r="N81" s="14" t="b">
        <x:v>0</x:v>
      </x:c>
      <x:c r="O81" s="14" t="b">
        <x:v>0</x:v>
      </x:c>
      <x:c r="P81" s="14" t="b">
        <x:v>0</x:v>
      </x:c>
      <x:c r="Q81" s="14" t="b">
        <x:v>0</x:v>
      </x:c>
      <x:c r="R81" s="14" t="b">
        <x:v>0</x:v>
      </x:c>
      <x:c r="S81" s="14" t="b">
        <x:v>0</x:v>
      </x:c>
    </x:row>
    <x:row r="82" ht="15" hidden="0" customHeight="1">
      <x:c r="A82" s="2" t="str">
        <x:v>SG-MC-09-2025062408</x:v>
      </x:c>
      <x:c r="B82" s="2" t="str">
        <x:v>2025-06-24 08:00:00</x:v>
      </x:c>
      <x:c r="C82" s="2" t="str">
        <x:v>MC-09</x:v>
      </x:c>
      <x:c r="D82" s="2" t="str">
        <x:v>PRD-C</x:v>
      </x:c>
      <x:c r="E82" s="2" t="n">
        <x:v>42.06316715641828</x:v>
      </x:c>
      <x:c r="F82" s="2" t="n">
        <x:v>0.0550303425452085</x:v>
      </x:c>
      <x:c r="G82" s="2" t="n">
        <x:v>5</x:v>
      </x:c>
      <x:c r="H82" s="2" t="n">
        <x:v>41.98128274145005</x:v>
      </x:c>
      <x:c r="I82" s="2" t="n">
        <x:v>42.03038150785648</x:v>
      </x:c>
      <x:c r="J82" s="2" t="n">
        <x:v>42.0794802742629</x:v>
      </x:c>
      <x:c r="K82" s="2" t="n">
        <x:v>0</x:v>
      </x:c>
      <x:c r="L82" s="2" t="n">
        <x:v>0.0850931826801104</x:v>
      </x:c>
      <x:c r="M82" s="2" t="n">
        <x:v>0.1798869881857533</x:v>
      </x:c>
      <x:c r="N82" s="14" t="b">
        <x:v>0</x:v>
      </x:c>
      <x:c r="O82" s="14" t="b">
        <x:v>0</x:v>
      </x:c>
      <x:c r="P82" s="14" t="b">
        <x:v>0</x:v>
      </x:c>
      <x:c r="Q82" s="14" t="b">
        <x:v>0</x:v>
      </x:c>
      <x:c r="R82" s="14" t="b">
        <x:v>0</x:v>
      </x:c>
      <x:c r="S82" s="14" t="b">
        <x:v>0</x:v>
      </x:c>
    </x:row>
    <x:row r="83" ht="15" hidden="0" customHeight="1">
      <x:c r="A83" s="2" t="str">
        <x:v>SG-MC-05-2025062408</x:v>
      </x:c>
      <x:c r="B83" s="2" t="str">
        <x:v>2025-06-24 08:00:00</x:v>
      </x:c>
      <x:c r="C83" s="2" t="str">
        <x:v>MC-05</x:v>
      </x:c>
      <x:c r="D83" s="2" t="str">
        <x:v>PRD-C</x:v>
      </x:c>
      <x:c r="E83" s="2" t="n">
        <x:v>42.04860500383484</x:v>
      </x:c>
      <x:c r="F83" s="2" t="n">
        <x:v>0.0738523329811542</x:v>
      </x:c>
      <x:c r="G83" s="2" t="n">
        <x:v>5</x:v>
      </x:c>
      <x:c r="H83" s="2" t="n">
        <x:v>41.98128274145005</x:v>
      </x:c>
      <x:c r="I83" s="2" t="n">
        <x:v>42.03038150785648</x:v>
      </x:c>
      <x:c r="J83" s="2" t="n">
        <x:v>42.0794802742629</x:v>
      </x:c>
      <x:c r="K83" s="2" t="n">
        <x:v>0</x:v>
      </x:c>
      <x:c r="L83" s="2" t="n">
        <x:v>0.0850931826801104</x:v>
      </x:c>
      <x:c r="M83" s="2" t="n">
        <x:v>0.1798869881857533</x:v>
      </x:c>
      <x:c r="N83" s="14" t="b">
        <x:v>0</x:v>
      </x:c>
      <x:c r="O83" s="14" t="b">
        <x:v>0</x:v>
      </x:c>
      <x:c r="P83" s="14" t="b">
        <x:v>0</x:v>
      </x:c>
      <x:c r="Q83" s="14" t="b">
        <x:v>0</x:v>
      </x:c>
      <x:c r="R83" s="14" t="b">
        <x:v>0</x:v>
      </x:c>
      <x:c r="S83" s="14" t="b">
        <x:v>0</x:v>
      </x:c>
    </x:row>
    <x:row r="84" ht="15" hidden="0" customHeight="1">
      <x:c r="A84" s="2" t="str">
        <x:v>SG-MC-08-2025062408</x:v>
      </x:c>
      <x:c r="B84" s="2" t="str">
        <x:v>2025-06-24 08:00:00</x:v>
      </x:c>
      <x:c r="C84" s="2" t="str">
        <x:v>MC-08</x:v>
      </x:c>
      <x:c r="D84" s="2" t="str">
        <x:v>PRD-B</x:v>
      </x:c>
      <x:c r="E84" s="2" t="n">
        <x:v>80.02357470445271</x:v>
      </x:c>
      <x:c r="F84" s="2" t="n">
        <x:v>0.1157419845979887</x:v>
      </x:c>
      <x:c r="G84" s="2" t="n">
        <x:v>5</x:v>
      </x:c>
      <x:c r="H84" s="2" t="n">
        <x:v>79.98133298727322</x:v>
      </x:c>
      <x:c r="I84" s="2" t="n">
        <x:v>80.02998001088412</x:v>
      </x:c>
      <x:c r="J84" s="2" t="n">
        <x:v>80.07862703449501</x:v>
      </x:c>
      <x:c r="K84" s="2" t="n">
        <x:v>0</x:v>
      </x:c>
      <x:c r="L84" s="2" t="n">
        <x:v>0.0843102662233807</x:v>
      </x:c>
      <x:c r="M84" s="2" t="n">
        <x:v>0.1782319027962268</x:v>
      </x:c>
      <x:c r="N84" s="14" t="b">
        <x:v>0</x:v>
      </x:c>
      <x:c r="O84" s="14" t="b">
        <x:v>0</x:v>
      </x:c>
      <x:c r="P84" s="14" t="b">
        <x:v>0</x:v>
      </x:c>
      <x:c r="Q84" s="14" t="b">
        <x:v>0</x:v>
      </x:c>
      <x:c r="R84" s="14" t="b">
        <x:v>0</x:v>
      </x:c>
      <x:c r="S84" s="14" t="b">
        <x:v>0</x:v>
      </x:c>
    </x:row>
    <x:row r="85" ht="15" hidden="0" customHeight="1">
      <x:c r="A85" s="2" t="str">
        <x:v>SG-MC-04-2025062408</x:v>
      </x:c>
      <x:c r="B85" s="2" t="str">
        <x:v>2025-06-24 08:00:00</x:v>
      </x:c>
      <x:c r="C85" s="2" t="str">
        <x:v>MC-04</x:v>
      </x:c>
      <x:c r="D85" s="2" t="str">
        <x:v>PRD-B</x:v>
      </x:c>
      <x:c r="E85" s="2" t="n">
        <x:v>80.02939036047292</x:v>
      </x:c>
      <x:c r="F85" s="2" t="n">
        <x:v>0.0794702664104818</x:v>
      </x:c>
      <x:c r="G85" s="2" t="n">
        <x:v>5</x:v>
      </x:c>
      <x:c r="H85" s="2" t="n">
        <x:v>79.98133298727322</x:v>
      </x:c>
      <x:c r="I85" s="2" t="n">
        <x:v>80.02998001088412</x:v>
      </x:c>
      <x:c r="J85" s="2" t="n">
        <x:v>80.07862703449501</x:v>
      </x:c>
      <x:c r="K85" s="2" t="n">
        <x:v>0</x:v>
      </x:c>
      <x:c r="L85" s="2" t="n">
        <x:v>0.0843102662233807</x:v>
      </x:c>
      <x:c r="M85" s="2" t="n">
        <x:v>0.1782319027962268</x:v>
      </x:c>
      <x:c r="N85" s="14" t="b">
        <x:v>0</x:v>
      </x:c>
      <x:c r="O85" s="14" t="b">
        <x:v>0</x:v>
      </x:c>
      <x:c r="P85" s="14" t="b">
        <x:v>0</x:v>
      </x:c>
      <x:c r="Q85" s="14" t="b">
        <x:v>0</x:v>
      </x:c>
      <x:c r="R85" s="14" t="b">
        <x:v>0</x:v>
      </x:c>
      <x:c r="S85" s="14" t="b">
        <x:v>0</x:v>
      </x:c>
    </x:row>
    <x:row r="86" ht="15" hidden="0" customHeight="1">
      <x:c r="A86" s="2" t="str">
        <x:v>SG-MC-07-2025062408</x:v>
      </x:c>
      <x:c r="B86" s="2" t="str">
        <x:v>2025-06-24 08:00:00</x:v>
      </x:c>
      <x:c r="C86" s="2" t="str">
        <x:v>MC-07</x:v>
      </x:c>
      <x:c r="D86" s="2" t="str">
        <x:v>PRD-A</x:v>
      </x:c>
      <x:c r="E86" s="2" t="n">
        <x:v>25.049127232075826</x:v>
      </x:c>
      <x:c r="F86" s="2" t="n">
        <x:v>0.1571363245107981</x:v>
      </x:c>
      <x:c r="G86" s="2" t="n">
        <x:v>5</x:v>
      </x:c>
      <x:c r="H86" s="2" t="n">
        <x:v>24.98096531359448</x:v>
      </x:c>
      <x:c r="I86" s="2" t="n">
        <x:v>25.029746559290437</x:v>
      </x:c>
      <x:c r="J86" s="2" t="n">
        <x:v>25.07852780498639</x:v>
      </x:c>
      <x:c r="K86" s="2" t="n">
        <x:v>0</x:v>
      </x:c>
      <x:c r="L86" s="2" t="n">
        <x:v>0.0845428868214142</x:v>
      </x:c>
      <x:c r="M86" s="2" t="n">
        <x:v>0.1787236627404697</x:v>
      </x:c>
      <x:c r="N86" s="14" t="b">
        <x:v>0</x:v>
      </x:c>
      <x:c r="O86" s="14" t="b">
        <x:v>0</x:v>
      </x:c>
      <x:c r="P86" s="14" t="b">
        <x:v>0</x:v>
      </x:c>
      <x:c r="Q86" s="14" t="b">
        <x:v>0</x:v>
      </x:c>
      <x:c r="R86" s="14" t="b">
        <x:v>0</x:v>
      </x:c>
      <x:c r="S86" s="14" t="b">
        <x:v>0</x:v>
      </x:c>
    </x:row>
    <x:row r="87" ht="15" hidden="0" customHeight="1">
      <x:c r="A87" s="2" t="str">
        <x:v>SG-MC-12-2025062408</x:v>
      </x:c>
      <x:c r="B87" s="2" t="str">
        <x:v>2025-06-24 08:00:00</x:v>
      </x:c>
      <x:c r="C87" s="2" t="str">
        <x:v>MC-12</x:v>
      </x:c>
      <x:c r="D87" s="2" t="str">
        <x:v>PRD-B</x:v>
      </x:c>
      <x:c r="E87" s="2" t="n">
        <x:v>80.00970619585209</x:v>
      </x:c>
      <x:c r="F87" s="2" t="n">
        <x:v>0.1177242736052193</x:v>
      </x:c>
      <x:c r="G87" s="2" t="n">
        <x:v>5</x:v>
      </x:c>
      <x:c r="H87" s="2" t="n">
        <x:v>79.98133298727322</x:v>
      </x:c>
      <x:c r="I87" s="2" t="n">
        <x:v>80.02998001088412</x:v>
      </x:c>
      <x:c r="J87" s="2" t="n">
        <x:v>80.07862703449501</x:v>
      </x:c>
      <x:c r="K87" s="2" t="n">
        <x:v>0</x:v>
      </x:c>
      <x:c r="L87" s="2" t="n">
        <x:v>0.0843102662233807</x:v>
      </x:c>
      <x:c r="M87" s="2" t="n">
        <x:v>0.1782319027962268</x:v>
      </x:c>
      <x:c r="N87" s="14" t="b">
        <x:v>0</x:v>
      </x:c>
      <x:c r="O87" s="14" t="b">
        <x:v>0</x:v>
      </x:c>
      <x:c r="P87" s="14" t="b">
        <x:v>0</x:v>
      </x:c>
      <x:c r="Q87" s="14" t="b">
        <x:v>0</x:v>
      </x:c>
      <x:c r="R87" s="14" t="b">
        <x:v>0</x:v>
      </x:c>
      <x:c r="S87" s="14" t="b">
        <x:v>0</x:v>
      </x:c>
    </x:row>
    <x:row r="88" ht="15" hidden="0" customHeight="1">
      <x:c r="A88" s="2" t="str">
        <x:v>SG-MC-06-2025062408</x:v>
      </x:c>
      <x:c r="B88" s="2" t="str">
        <x:v>2025-06-24 08:00:00</x:v>
      </x:c>
      <x:c r="C88" s="2" t="str">
        <x:v>MC-06</x:v>
      </x:c>
      <x:c r="D88" s="2" t="str">
        <x:v>PRD-D</x:v>
      </x:c>
      <x:c r="E88" s="2" t="n">
        <x:v>60.0496362396373</x:v>
      </x:c>
      <x:c r="F88" s="2" t="n">
        <x:v>0.1695820990670924</x:v>
      </x:c>
      <x:c r="G88" s="2" t="n">
        <x:v>5</x:v>
      </x:c>
      <x:c r="H88" s="2" t="n">
        <x:v>59.9812332134637</x:v>
      </x:c>
      <x:c r="I88" s="2" t="n">
        <x:v>60.03007765222271</x:v>
      </x:c>
      <x:c r="J88" s="2" t="n">
        <x:v>60.07892209098171</x:v>
      </x:c>
      <x:c r="K88" s="2" t="n">
        <x:v>0</x:v>
      </x:c>
      <x:c r="L88" s="2" t="n">
        <x:v>0.0846524068613621</x:v>
      </x:c>
      <x:c r="M88" s="2" t="n">
        <x:v>0.1789551881049196</x:v>
      </x:c>
      <x:c r="N88" s="14" t="b">
        <x:v>0</x:v>
      </x:c>
      <x:c r="O88" s="14" t="b">
        <x:v>0</x:v>
      </x:c>
      <x:c r="P88" s="14" t="b">
        <x:v>0</x:v>
      </x:c>
      <x:c r="Q88" s="14" t="b">
        <x:v>0</x:v>
      </x:c>
      <x:c r="R88" s="14" t="b">
        <x:v>0</x:v>
      </x:c>
      <x:c r="S88" s="14" t="b">
        <x:v>0</x:v>
      </x:c>
    </x:row>
    <x:row r="89" ht="15" hidden="0" customHeight="1">
      <x:c r="A89" s="2" t="str">
        <x:v>SG-MC-10-2025062408</x:v>
      </x:c>
      <x:c r="B89" s="2" t="str">
        <x:v>2025-06-24 08:00:00</x:v>
      </x:c>
      <x:c r="C89" s="2" t="str">
        <x:v>MC-10</x:v>
      </x:c>
      <x:c r="D89" s="2" t="str">
        <x:v>PRD-D</x:v>
      </x:c>
      <x:c r="E89" s="2" t="n">
        <x:v>60.03212175334437</x:v>
      </x:c>
      <x:c r="F89" s="2" t="n">
        <x:v>0.0522616781921385</x:v>
      </x:c>
      <x:c r="G89" s="2" t="n">
        <x:v>5</x:v>
      </x:c>
      <x:c r="H89" s="2" t="n">
        <x:v>59.9812332134637</x:v>
      </x:c>
      <x:c r="I89" s="2" t="n">
        <x:v>60.03007765222271</x:v>
      </x:c>
      <x:c r="J89" s="2" t="n">
        <x:v>60.07892209098171</x:v>
      </x:c>
      <x:c r="K89" s="2" t="n">
        <x:v>0</x:v>
      </x:c>
      <x:c r="L89" s="2" t="n">
        <x:v>0.0846524068613621</x:v>
      </x:c>
      <x:c r="M89" s="2" t="n">
        <x:v>0.1789551881049196</x:v>
      </x:c>
      <x:c r="N89" s="14" t="b">
        <x:v>0</x:v>
      </x:c>
      <x:c r="O89" s="14" t="b">
        <x:v>0</x:v>
      </x:c>
      <x:c r="P89" s="14" t="b">
        <x:v>0</x:v>
      </x:c>
      <x:c r="Q89" s="14" t="b">
        <x:v>0</x:v>
      </x:c>
      <x:c r="R89" s="14" t="b">
        <x:v>0</x:v>
      </x:c>
      <x:c r="S89" s="14" t="b">
        <x:v>0</x:v>
      </x:c>
    </x:row>
    <x:row r="90" ht="15" hidden="0" customHeight="1">
      <x:c r="A90" s="2" t="str">
        <x:v>SG-MC-01-2025062408</x:v>
      </x:c>
      <x:c r="B90" s="2" t="str">
        <x:v>2025-06-24 08:00:00</x:v>
      </x:c>
      <x:c r="C90" s="2" t="str">
        <x:v>MC-01</x:v>
      </x:c>
      <x:c r="D90" s="2" t="str">
        <x:v>PRD-C</x:v>
      </x:c>
      <x:c r="E90" s="2" t="n">
        <x:v>42.00569989459983</x:v>
      </x:c>
      <x:c r="F90" s="2" t="n">
        <x:v>0.0530422490403736</x:v>
      </x:c>
      <x:c r="G90" s="2" t="n">
        <x:v>5</x:v>
      </x:c>
      <x:c r="H90" s="2" t="n">
        <x:v>41.98128274145005</x:v>
      </x:c>
      <x:c r="I90" s="2" t="n">
        <x:v>42.03038150785648</x:v>
      </x:c>
      <x:c r="J90" s="2" t="n">
        <x:v>42.0794802742629</x:v>
      </x:c>
      <x:c r="K90" s="2" t="n">
        <x:v>0</x:v>
      </x:c>
      <x:c r="L90" s="2" t="n">
        <x:v>0.0850931826801104</x:v>
      </x:c>
      <x:c r="M90" s="2" t="n">
        <x:v>0.1798869881857533</x:v>
      </x:c>
      <x:c r="N90" s="14" t="b">
        <x:v>0</x:v>
      </x:c>
      <x:c r="O90" s="14" t="b">
        <x:v>0</x:v>
      </x:c>
      <x:c r="P90" s="14" t="b">
        <x:v>0</x:v>
      </x:c>
      <x:c r="Q90" s="14" t="b">
        <x:v>0</x:v>
      </x:c>
      <x:c r="R90" s="14" t="b">
        <x:v>0</x:v>
      </x:c>
      <x:c r="S90" s="14" t="b">
        <x:v>0</x:v>
      </x:c>
    </x:row>
    <x:row r="91" ht="15" hidden="0" customHeight="1">
      <x:c r="A91" s="2" t="str">
        <x:v>SG-MC-02-2025062408</x:v>
      </x:c>
      <x:c r="B91" s="2" t="str">
        <x:v>2025-06-24 08:00:00</x:v>
      </x:c>
      <x:c r="C91" s="2" t="str">
        <x:v>MC-02</x:v>
      </x:c>
      <x:c r="D91" s="2" t="str">
        <x:v>PRD-D</x:v>
      </x:c>
      <x:c r="E91" s="2" t="n">
        <x:v>60.01091164653517</x:v>
      </x:c>
      <x:c r="F91" s="2" t="n">
        <x:v>0.0826330132889907</x:v>
      </x:c>
      <x:c r="G91" s="2" t="n">
        <x:v>5</x:v>
      </x:c>
      <x:c r="H91" s="2" t="n">
        <x:v>59.9812332134637</x:v>
      </x:c>
      <x:c r="I91" s="2" t="n">
        <x:v>60.03007765222271</x:v>
      </x:c>
      <x:c r="J91" s="2" t="n">
        <x:v>60.07892209098171</x:v>
      </x:c>
      <x:c r="K91" s="2" t="n">
        <x:v>0</x:v>
      </x:c>
      <x:c r="L91" s="2" t="n">
        <x:v>0.0846524068613621</x:v>
      </x:c>
      <x:c r="M91" s="2" t="n">
        <x:v>0.1789551881049196</x:v>
      </x:c>
      <x:c r="N91" s="14" t="b">
        <x:v>0</x:v>
      </x:c>
      <x:c r="O91" s="14" t="b">
        <x:v>0</x:v>
      </x:c>
      <x:c r="P91" s="14" t="b">
        <x:v>0</x:v>
      </x:c>
      <x:c r="Q91" s="14" t="b">
        <x:v>0</x:v>
      </x:c>
      <x:c r="R91" s="14" t="b">
        <x:v>0</x:v>
      </x:c>
      <x:c r="S91" s="14" t="b">
        <x:v>0</x:v>
      </x:c>
    </x:row>
    <x:row r="92" ht="15" hidden="0" customHeight="1">
      <x:c r="A92" s="2" t="str">
        <x:v>SG-MC-03-2025062408</x:v>
      </x:c>
      <x:c r="B92" s="2" t="str">
        <x:v>2025-06-24 08:00:00</x:v>
      </x:c>
      <x:c r="C92" s="2" t="str">
        <x:v>MC-03</x:v>
      </x:c>
      <x:c r="D92" s="2" t="str">
        <x:v>PRD-A</x:v>
      </x:c>
      <x:c r="E92" s="2" t="n">
        <x:v>25.034479312649616</x:v>
      </x:c>
      <x:c r="F92" s="2" t="n">
        <x:v>0.0863218003847627</x:v>
      </x:c>
      <x:c r="G92" s="2" t="n">
        <x:v>5</x:v>
      </x:c>
      <x:c r="H92" s="2" t="n">
        <x:v>24.98096531359448</x:v>
      </x:c>
      <x:c r="I92" s="2" t="n">
        <x:v>25.029746559290437</x:v>
      </x:c>
      <x:c r="J92" s="2" t="n">
        <x:v>25.07852780498639</x:v>
      </x:c>
      <x:c r="K92" s="2" t="n">
        <x:v>0</x:v>
      </x:c>
      <x:c r="L92" s="2" t="n">
        <x:v>0.0845428868214142</x:v>
      </x:c>
      <x:c r="M92" s="2" t="n">
        <x:v>0.1787236627404697</x:v>
      </x:c>
      <x:c r="N92" s="14" t="b">
        <x:v>0</x:v>
      </x:c>
      <x:c r="O92" s="14" t="b">
        <x:v>0</x:v>
      </x:c>
      <x:c r="P92" s="14" t="b">
        <x:v>0</x:v>
      </x:c>
      <x:c r="Q92" s="14" t="b">
        <x:v>0</x:v>
      </x:c>
      <x:c r="R92" s="14" t="b">
        <x:v>0</x:v>
      </x:c>
      <x:c r="S92" s="14" t="b">
        <x:v>0</x:v>
      </x:c>
    </x:row>
    <x:row r="93" ht="15" hidden="0" customHeight="1">
      <x:c r="A93" s="2" t="str">
        <x:v>SG-MC-11-2025062408</x:v>
      </x:c>
      <x:c r="B93" s="2" t="str">
        <x:v>2025-06-24 08:00:00</x:v>
      </x:c>
      <x:c r="C93" s="2" t="str">
        <x:v>MC-11</x:v>
      </x:c>
      <x:c r="D93" s="2" t="str">
        <x:v>PRD-A</x:v>
      </x:c>
      <x:c r="E93" s="2" t="n">
        <x:v>24.98321510558178</x:v>
      </x:c>
      <x:c r="F93" s="2" t="n">
        <x:v>0.06765864209639</x:v>
      </x:c>
      <x:c r="G93" s="2" t="n">
        <x:v>5</x:v>
      </x:c>
      <x:c r="H93" s="2" t="n">
        <x:v>24.98096531359448</x:v>
      </x:c>
      <x:c r="I93" s="2" t="n">
        <x:v>25.029746559290437</x:v>
      </x:c>
      <x:c r="J93" s="2" t="n">
        <x:v>25.07852780498639</x:v>
      </x:c>
      <x:c r="K93" s="2" t="n">
        <x:v>0</x:v>
      </x:c>
      <x:c r="L93" s="2" t="n">
        <x:v>0.0845428868214142</x:v>
      </x:c>
      <x:c r="M93" s="2" t="n">
        <x:v>0.1787236627404697</x:v>
      </x:c>
      <x:c r="N93" s="14" t="b">
        <x:v>0</x:v>
      </x:c>
      <x:c r="O93" s="14" t="b">
        <x:v>1</x:v>
      </x:c>
      <x:c r="P93" s="14" t="b">
        <x:v>0</x:v>
      </x:c>
      <x:c r="Q93" s="14" t="b">
        <x:v>0</x:v>
      </x:c>
      <x:c r="R93" s="14" t="b">
        <x:v>1</x:v>
      </x:c>
      <x:c r="S93" s="14" t="b">
        <x:v>0</x:v>
      </x:c>
    </x:row>
    <x:row r="94" ht="15" hidden="0" customHeight="1">
      <x:c r="A94" s="2" t="str">
        <x:v>SG-MC-09-2025062416</x:v>
      </x:c>
      <x:c r="B94" s="2" t="str">
        <x:v>2025-06-24 16:00:00</x:v>
      </x:c>
      <x:c r="C94" s="2" t="str">
        <x:v>MC-09</x:v>
      </x:c>
      <x:c r="D94" s="2" t="str">
        <x:v>PRD-C</x:v>
      </x:c>
      <x:c r="E94" s="2" t="n">
        <x:v>42.022438057375936</x:v>
      </x:c>
      <x:c r="F94" s="2" t="n">
        <x:v>0.0263070606696516</x:v>
      </x:c>
      <x:c r="G94" s="2" t="n">
        <x:v>5</x:v>
      </x:c>
      <x:c r="H94" s="2" t="n">
        <x:v>41.98128274145005</x:v>
      </x:c>
      <x:c r="I94" s="2" t="n">
        <x:v>42.03038150785648</x:v>
      </x:c>
      <x:c r="J94" s="2" t="n">
        <x:v>42.0794802742629</x:v>
      </x:c>
      <x:c r="K94" s="2" t="n">
        <x:v>0</x:v>
      </x:c>
      <x:c r="L94" s="2" t="n">
        <x:v>0.0850931826801104</x:v>
      </x:c>
      <x:c r="M94" s="2" t="n">
        <x:v>0.1798869881857533</x:v>
      </x:c>
      <x:c r="N94" s="14" t="b">
        <x:v>0</x:v>
      </x:c>
      <x:c r="O94" s="14" t="b">
        <x:v>0</x:v>
      </x:c>
      <x:c r="P94" s="14" t="b">
        <x:v>0</x:v>
      </x:c>
      <x:c r="Q94" s="14" t="b">
        <x:v>0</x:v>
      </x:c>
      <x:c r="R94" s="14" t="b">
        <x:v>0</x:v>
      </x:c>
      <x:c r="S94" s="14" t="b">
        <x:v>0</x:v>
      </x:c>
    </x:row>
    <x:row r="95" ht="15" hidden="0" customHeight="1">
      <x:c r="A95" s="2" t="str">
        <x:v>SG-MC-01-2025062416</x:v>
      </x:c>
      <x:c r="B95" s="2" t="str">
        <x:v>2025-06-24 16:00:00</x:v>
      </x:c>
      <x:c r="C95" s="2" t="str">
        <x:v>MC-01</x:v>
      </x:c>
      <x:c r="D95" s="2" t="str">
        <x:v>PRD-C</x:v>
      </x:c>
      <x:c r="E95" s="2" t="n">
        <x:v>41.99453592488426</x:v>
      </x:c>
      <x:c r="F95" s="2" t="n">
        <x:v>0.1179924063124246</x:v>
      </x:c>
      <x:c r="G95" s="2" t="n">
        <x:v>5</x:v>
      </x:c>
      <x:c r="H95" s="2" t="n">
        <x:v>41.98128274145005</x:v>
      </x:c>
      <x:c r="I95" s="2" t="n">
        <x:v>42.03038150785648</x:v>
      </x:c>
      <x:c r="J95" s="2" t="n">
        <x:v>42.0794802742629</x:v>
      </x:c>
      <x:c r="K95" s="2" t="n">
        <x:v>0</x:v>
      </x:c>
      <x:c r="L95" s="2" t="n">
        <x:v>0.0850931826801104</x:v>
      </x:c>
      <x:c r="M95" s="2" t="n">
        <x:v>0.1798869881857533</x:v>
      </x:c>
      <x:c r="N95" s="14" t="b">
        <x:v>0</x:v>
      </x:c>
      <x:c r="O95" s="14" t="b">
        <x:v>0</x:v>
      </x:c>
      <x:c r="P95" s="14" t="b">
        <x:v>0</x:v>
      </x:c>
      <x:c r="Q95" s="14" t="b">
        <x:v>0</x:v>
      </x:c>
      <x:c r="R95" s="14" t="b">
        <x:v>0</x:v>
      </x:c>
      <x:c r="S95" s="14" t="b">
        <x:v>0</x:v>
      </x:c>
    </x:row>
    <x:row r="96" ht="15" hidden="0" customHeight="1">
      <x:c r="A96" s="2" t="str">
        <x:v>SG-MC-05-2025062416</x:v>
      </x:c>
      <x:c r="B96" s="2" t="str">
        <x:v>2025-06-24 16:00:00</x:v>
      </x:c>
      <x:c r="C96" s="2" t="str">
        <x:v>MC-05</x:v>
      </x:c>
      <x:c r="D96" s="2" t="str">
        <x:v>PRD-C</x:v>
      </x:c>
      <x:c r="E96" s="2" t="n">
        <x:v>42.04364997339843</x:v>
      </x:c>
      <x:c r="F96" s="2" t="n">
        <x:v>0.0652337220237768</x:v>
      </x:c>
      <x:c r="G96" s="2" t="n">
        <x:v>5</x:v>
      </x:c>
      <x:c r="H96" s="2" t="n">
        <x:v>41.98128274145005</x:v>
      </x:c>
      <x:c r="I96" s="2" t="n">
        <x:v>42.03038150785648</x:v>
      </x:c>
      <x:c r="J96" s="2" t="n">
        <x:v>42.0794802742629</x:v>
      </x:c>
      <x:c r="K96" s="2" t="n">
        <x:v>0</x:v>
      </x:c>
      <x:c r="L96" s="2" t="n">
        <x:v>0.0850931826801104</x:v>
      </x:c>
      <x:c r="M96" s="2" t="n">
        <x:v>0.1798869881857533</x:v>
      </x:c>
      <x:c r="N96" s="14" t="b">
        <x:v>0</x:v>
      </x:c>
      <x:c r="O96" s="14" t="b">
        <x:v>0</x:v>
      </x:c>
      <x:c r="P96" s="14" t="b">
        <x:v>0</x:v>
      </x:c>
      <x:c r="Q96" s="14" t="b">
        <x:v>0</x:v>
      </x:c>
      <x:c r="R96" s="14" t="b">
        <x:v>0</x:v>
      </x:c>
      <x:c r="S96" s="14" t="b">
        <x:v>0</x:v>
      </x:c>
    </x:row>
    <x:row r="97" ht="15" hidden="0" customHeight="1">
      <x:c r="A97" s="2" t="str">
        <x:v>SG-MC-08-2025062416</x:v>
      </x:c>
      <x:c r="B97" s="2" t="str">
        <x:v>2025-06-24 16:00:00</x:v>
      </x:c>
      <x:c r="C97" s="2" t="str">
        <x:v>MC-08</x:v>
      </x:c>
      <x:c r="D97" s="2" t="str">
        <x:v>PRD-B</x:v>
      </x:c>
      <x:c r="E97" s="2" t="n">
        <x:v>80.01665180663859</x:v>
      </x:c>
      <x:c r="F97" s="2" t="n">
        <x:v>0.1156301098289134</x:v>
      </x:c>
      <x:c r="G97" s="2" t="n">
        <x:v>5</x:v>
      </x:c>
      <x:c r="H97" s="2" t="n">
        <x:v>79.98133298727322</x:v>
      </x:c>
      <x:c r="I97" s="2" t="n">
        <x:v>80.02998001088412</x:v>
      </x:c>
      <x:c r="J97" s="2" t="n">
        <x:v>80.07862703449501</x:v>
      </x:c>
      <x:c r="K97" s="2" t="n">
        <x:v>0</x:v>
      </x:c>
      <x:c r="L97" s="2" t="n">
        <x:v>0.0843102662233807</x:v>
      </x:c>
      <x:c r="M97" s="2" t="n">
        <x:v>0.1782319027962268</x:v>
      </x:c>
      <x:c r="N97" s="14" t="b">
        <x:v>0</x:v>
      </x:c>
      <x:c r="O97" s="14" t="b">
        <x:v>0</x:v>
      </x:c>
      <x:c r="P97" s="14" t="b">
        <x:v>0</x:v>
      </x:c>
      <x:c r="Q97" s="14" t="b">
        <x:v>0</x:v>
      </x:c>
      <x:c r="R97" s="14" t="b">
        <x:v>0</x:v>
      </x:c>
      <x:c r="S97" s="14" t="b">
        <x:v>0</x:v>
      </x:c>
    </x:row>
    <x:row r="98" ht="15" hidden="0" customHeight="1">
      <x:c r="A98" s="2" t="str">
        <x:v>SG-MC-02-2025062416</x:v>
      </x:c>
      <x:c r="B98" s="2" t="str">
        <x:v>2025-06-24 16:00:00</x:v>
      </x:c>
      <x:c r="C98" s="2" t="str">
        <x:v>MC-02</x:v>
      </x:c>
      <x:c r="D98" s="2" t="str">
        <x:v>PRD-D</x:v>
      </x:c>
      <x:c r="E98" s="2" t="n">
        <x:v>59.99945254900854</x:v>
      </x:c>
      <x:c r="F98" s="2" t="n">
        <x:v>0.0434682059072883</x:v>
      </x:c>
      <x:c r="G98" s="2" t="n">
        <x:v>5</x:v>
      </x:c>
      <x:c r="H98" s="2" t="n">
        <x:v>59.9812332134637</x:v>
      </x:c>
      <x:c r="I98" s="2" t="n">
        <x:v>60.03007765222271</x:v>
      </x:c>
      <x:c r="J98" s="2" t="n">
        <x:v>60.07892209098171</x:v>
      </x:c>
      <x:c r="K98" s="2" t="n">
        <x:v>0</x:v>
      </x:c>
      <x:c r="L98" s="2" t="n">
        <x:v>0.0846524068613621</x:v>
      </x:c>
      <x:c r="M98" s="2" t="n">
        <x:v>0.1789551881049196</x:v>
      </x:c>
      <x:c r="N98" s="14" t="b">
        <x:v>0</x:v>
      </x:c>
      <x:c r="O98" s="14" t="b">
        <x:v>0</x:v>
      </x:c>
      <x:c r="P98" s="14" t="b">
        <x:v>0</x:v>
      </x:c>
      <x:c r="Q98" s="14" t="b">
        <x:v>0</x:v>
      </x:c>
      <x:c r="R98" s="14" t="b">
        <x:v>0</x:v>
      </x:c>
      <x:c r="S98" s="14" t="b">
        <x:v>0</x:v>
      </x:c>
    </x:row>
    <x:row r="99" ht="15" hidden="0" customHeight="1">
      <x:c r="A99" s="2" t="str">
        <x:v>SG-MC-04-2025062416</x:v>
      </x:c>
      <x:c r="B99" s="2" t="str">
        <x:v>2025-06-24 16:00:00</x:v>
      </x:c>
      <x:c r="C99" s="2" t="str">
        <x:v>MC-04</x:v>
      </x:c>
      <x:c r="D99" s="2" t="str">
        <x:v>PRD-B</x:v>
      </x:c>
      <x:c r="E99" s="2" t="n">
        <x:v>80.02253623808102</x:v>
      </x:c>
      <x:c r="F99" s="2" t="n">
        <x:v>0.0664798840356581</x:v>
      </x:c>
      <x:c r="G99" s="2" t="n">
        <x:v>5</x:v>
      </x:c>
      <x:c r="H99" s="2" t="n">
        <x:v>79.98133298727322</x:v>
      </x:c>
      <x:c r="I99" s="2" t="n">
        <x:v>80.02998001088412</x:v>
      </x:c>
      <x:c r="J99" s="2" t="n">
        <x:v>80.07862703449501</x:v>
      </x:c>
      <x:c r="K99" s="2" t="n">
        <x:v>0</x:v>
      </x:c>
      <x:c r="L99" s="2" t="n">
        <x:v>0.0843102662233807</x:v>
      </x:c>
      <x:c r="M99" s="2" t="n">
        <x:v>0.1782319027962268</x:v>
      </x:c>
      <x:c r="N99" s="14" t="b">
        <x:v>0</x:v>
      </x:c>
      <x:c r="O99" s="14" t="b">
        <x:v>0</x:v>
      </x:c>
      <x:c r="P99" s="14" t="b">
        <x:v>0</x:v>
      </x:c>
      <x:c r="Q99" s="14" t="b">
        <x:v>0</x:v>
      </x:c>
      <x:c r="R99" s="14" t="b">
        <x:v>0</x:v>
      </x:c>
      <x:c r="S99" s="14" t="b">
        <x:v>0</x:v>
      </x:c>
    </x:row>
    <x:row r="100" ht="15" hidden="0" customHeight="1">
      <x:c r="A100" s="2" t="str">
        <x:v>SG-MC-06-2025062416</x:v>
      </x:c>
      <x:c r="B100" s="2" t="str">
        <x:v>2025-06-24 16:00:00</x:v>
      </x:c>
      <x:c r="C100" s="2" t="str">
        <x:v>MC-06</x:v>
      </x:c>
      <x:c r="D100" s="2" t="str">
        <x:v>PRD-D</x:v>
      </x:c>
      <x:c r="E100" s="2" t="n">
        <x:v>60.02896075672792</x:v>
      </x:c>
      <x:c r="F100" s="2" t="n">
        <x:v>0.0647077728395473</x:v>
      </x:c>
      <x:c r="G100" s="2" t="n">
        <x:v>5</x:v>
      </x:c>
      <x:c r="H100" s="2" t="n">
        <x:v>59.9812332134637</x:v>
      </x:c>
      <x:c r="I100" s="2" t="n">
        <x:v>60.03007765222271</x:v>
      </x:c>
      <x:c r="J100" s="2" t="n">
        <x:v>60.07892209098171</x:v>
      </x:c>
      <x:c r="K100" s="2" t="n">
        <x:v>0</x:v>
      </x:c>
      <x:c r="L100" s="2" t="n">
        <x:v>0.0846524068613621</x:v>
      </x:c>
      <x:c r="M100" s="2" t="n">
        <x:v>0.1789551881049196</x:v>
      </x:c>
      <x:c r="N100" s="14" t="b">
        <x:v>0</x:v>
      </x:c>
      <x:c r="O100" s="14" t="b">
        <x:v>0</x:v>
      </x:c>
      <x:c r="P100" s="14" t="b">
        <x:v>0</x:v>
      </x:c>
      <x:c r="Q100" s="14" t="b">
        <x:v>0</x:v>
      </x:c>
      <x:c r="R100" s="14" t="b">
        <x:v>0</x:v>
      </x:c>
      <x:c r="S100" s="14" t="b">
        <x:v>0</x:v>
      </x:c>
    </x:row>
    <x:row r="101" ht="15" hidden="0" customHeight="1">
      <x:c r="A101" s="2" t="str">
        <x:v>SG-MC-12-2025062416</x:v>
      </x:c>
      <x:c r="B101" s="2" t="str">
        <x:v>2025-06-24 16:00:00</x:v>
      </x:c>
      <x:c r="C101" s="2" t="str">
        <x:v>MC-12</x:v>
      </x:c>
      <x:c r="D101" s="2" t="str">
        <x:v>PRD-B</x:v>
      </x:c>
      <x:c r="E101" s="2" t="n">
        <x:v>80.0229488432142</x:v>
      </x:c>
      <x:c r="F101" s="2" t="n">
        <x:v>0.0956874821294064</x:v>
      </x:c>
      <x:c r="G101" s="2" t="n">
        <x:v>5</x:v>
      </x:c>
      <x:c r="H101" s="2" t="n">
        <x:v>79.98133298727322</x:v>
      </x:c>
      <x:c r="I101" s="2" t="n">
        <x:v>80.02998001088412</x:v>
      </x:c>
      <x:c r="J101" s="2" t="n">
        <x:v>80.07862703449501</x:v>
      </x:c>
      <x:c r="K101" s="2" t="n">
        <x:v>0</x:v>
      </x:c>
      <x:c r="L101" s="2" t="n">
        <x:v>0.0843102662233807</x:v>
      </x:c>
      <x:c r="M101" s="2" t="n">
        <x:v>0.1782319027962268</x:v>
      </x:c>
      <x:c r="N101" s="14" t="b">
        <x:v>0</x:v>
      </x:c>
      <x:c r="O101" s="14" t="b">
        <x:v>0</x:v>
      </x:c>
      <x:c r="P101" s="14" t="b">
        <x:v>0</x:v>
      </x:c>
      <x:c r="Q101" s="14" t="b">
        <x:v>0</x:v>
      </x:c>
      <x:c r="R101" s="14" t="b">
        <x:v>0</x:v>
      </x:c>
      <x:c r="S101" s="14" t="b">
        <x:v>0</x:v>
      </x:c>
    </x:row>
    <x:row r="102" ht="15" hidden="0" customHeight="1">
      <x:c r="A102" s="2" t="str">
        <x:v>SG-MC-07-2025062416</x:v>
      </x:c>
      <x:c r="B102" s="2" t="str">
        <x:v>2025-06-24 16:00:00</x:v>
      </x:c>
      <x:c r="C102" s="2" t="str">
        <x:v>MC-07</x:v>
      </x:c>
      <x:c r="D102" s="2" t="str">
        <x:v>PRD-A</x:v>
      </x:c>
      <x:c r="E102" s="2" t="n">
        <x:v>25.01313084316317</x:v>
      </x:c>
      <x:c r="F102" s="2" t="n">
        <x:v>0.0936782818931831</x:v>
      </x:c>
      <x:c r="G102" s="2" t="n">
        <x:v>5</x:v>
      </x:c>
      <x:c r="H102" s="2" t="n">
        <x:v>24.98096531359448</x:v>
      </x:c>
      <x:c r="I102" s="2" t="n">
        <x:v>25.029746559290437</x:v>
      </x:c>
      <x:c r="J102" s="2" t="n">
        <x:v>25.07852780498639</x:v>
      </x:c>
      <x:c r="K102" s="2" t="n">
        <x:v>0</x:v>
      </x:c>
      <x:c r="L102" s="2" t="n">
        <x:v>0.0845428868214142</x:v>
      </x:c>
      <x:c r="M102" s="2" t="n">
        <x:v>0.1787236627404697</x:v>
      </x:c>
      <x:c r="N102" s="14" t="b">
        <x:v>0</x:v>
      </x:c>
      <x:c r="O102" s="14" t="b">
        <x:v>0</x:v>
      </x:c>
      <x:c r="P102" s="14" t="b">
        <x:v>0</x:v>
      </x:c>
      <x:c r="Q102" s="14" t="b">
        <x:v>0</x:v>
      </x:c>
      <x:c r="R102" s="14" t="b">
        <x:v>0</x:v>
      </x:c>
      <x:c r="S102" s="14" t="b">
        <x:v>0</x:v>
      </x:c>
    </x:row>
    <x:row r="103" ht="15" hidden="0" customHeight="1">
      <x:c r="A103" s="2" t="str">
        <x:v>SG-MC-03-2025062416</x:v>
      </x:c>
      <x:c r="B103" s="2" t="str">
        <x:v>2025-06-24 16:00:00</x:v>
      </x:c>
      <x:c r="C103" s="2" t="str">
        <x:v>MC-03</x:v>
      </x:c>
      <x:c r="D103" s="2" t="str">
        <x:v>PRD-A</x:v>
      </x:c>
      <x:c r="E103" s="2" t="n">
        <x:v>25.0719556546884</x:v>
      </x:c>
      <x:c r="F103" s="2" t="n">
        <x:v>0.1483315514630163</x:v>
      </x:c>
      <x:c r="G103" s="2" t="n">
        <x:v>5</x:v>
      </x:c>
      <x:c r="H103" s="2" t="n">
        <x:v>24.98096531359448</x:v>
      </x:c>
      <x:c r="I103" s="2" t="n">
        <x:v>25.029746559290437</x:v>
      </x:c>
      <x:c r="J103" s="2" t="n">
        <x:v>25.07852780498639</x:v>
      </x:c>
      <x:c r="K103" s="2" t="n">
        <x:v>0</x:v>
      </x:c>
      <x:c r="L103" s="2" t="n">
        <x:v>0.0845428868214142</x:v>
      </x:c>
      <x:c r="M103" s="2" t="n">
        <x:v>0.1787236627404697</x:v>
      </x:c>
      <x:c r="N103" s="14" t="b">
        <x:v>0</x:v>
      </x:c>
      <x:c r="O103" s="14" t="b">
        <x:v>0</x:v>
      </x:c>
      <x:c r="P103" s="14" t="b">
        <x:v>0</x:v>
      </x:c>
      <x:c r="Q103" s="14" t="b">
        <x:v>0</x:v>
      </x:c>
      <x:c r="R103" s="14" t="b">
        <x:v>0</x:v>
      </x:c>
      <x:c r="S103" s="14" t="b">
        <x:v>0</x:v>
      </x:c>
    </x:row>
    <x:row r="104" ht="15" hidden="0" customHeight="1">
      <x:c r="A104" s="2" t="str">
        <x:v>SG-MC-10-2025062416</x:v>
      </x:c>
      <x:c r="B104" s="2" t="str">
        <x:v>2025-06-24 16:00:00</x:v>
      </x:c>
      <x:c r="C104" s="2" t="str">
        <x:v>MC-10</x:v>
      </x:c>
      <x:c r="D104" s="2" t="str">
        <x:v>PRD-D</x:v>
      </x:c>
      <x:c r="E104" s="2" t="n">
        <x:v>60.01700694853294</x:v>
      </x:c>
      <x:c r="F104" s="2" t="n">
        <x:v>0.0671151627538151</x:v>
      </x:c>
      <x:c r="G104" s="2" t="n">
        <x:v>5</x:v>
      </x:c>
      <x:c r="H104" s="2" t="n">
        <x:v>59.9812332134637</x:v>
      </x:c>
      <x:c r="I104" s="2" t="n">
        <x:v>60.03007765222271</x:v>
      </x:c>
      <x:c r="J104" s="2" t="n">
        <x:v>60.07892209098171</x:v>
      </x:c>
      <x:c r="K104" s="2" t="n">
        <x:v>0</x:v>
      </x:c>
      <x:c r="L104" s="2" t="n">
        <x:v>0.0846524068613621</x:v>
      </x:c>
      <x:c r="M104" s="2" t="n">
        <x:v>0.1789551881049196</x:v>
      </x:c>
      <x:c r="N104" s="14" t="b">
        <x:v>0</x:v>
      </x:c>
      <x:c r="O104" s="14" t="b">
        <x:v>0</x:v>
      </x:c>
      <x:c r="P104" s="14" t="b">
        <x:v>0</x:v>
      </x:c>
      <x:c r="Q104" s="14" t="b">
        <x:v>0</x:v>
      </x:c>
      <x:c r="R104" s="14" t="b">
        <x:v>0</x:v>
      </x:c>
      <x:c r="S104" s="14" t="b">
        <x:v>0</x:v>
      </x:c>
    </x:row>
    <x:row r="105" ht="15" hidden="0" customHeight="1">
      <x:c r="A105" s="2" t="str">
        <x:v>SG-MC-11-2025062416</x:v>
      </x:c>
      <x:c r="B105" s="2" t="str">
        <x:v>2025-06-24 16:00:00</x:v>
      </x:c>
      <x:c r="C105" s="2" t="str">
        <x:v>MC-11</x:v>
      </x:c>
      <x:c r="D105" s="2" t="str">
        <x:v>PRD-A</x:v>
      </x:c>
      <x:c r="E105" s="2" t="n">
        <x:v>24.97741405297877</x:v>
      </x:c>
      <x:c r="F105" s="2" t="n">
        <x:v>0.0239316524176267</x:v>
      </x:c>
      <x:c r="G105" s="2" t="n">
        <x:v>5</x:v>
      </x:c>
      <x:c r="H105" s="2" t="n">
        <x:v>24.98096531359448</x:v>
      </x:c>
      <x:c r="I105" s="2" t="n">
        <x:v>25.029746559290437</x:v>
      </x:c>
      <x:c r="J105" s="2" t="n">
        <x:v>25.07852780498639</x:v>
      </x:c>
      <x:c r="K105" s="2" t="n">
        <x:v>0</x:v>
      </x:c>
      <x:c r="L105" s="2" t="n">
        <x:v>0.0845428868214142</x:v>
      </x:c>
      <x:c r="M105" s="2" t="n">
        <x:v>0.1787236627404697</x:v>
      </x:c>
      <x:c r="N105" s="14" t="b">
        <x:v>1</x:v>
      </x:c>
      <x:c r="O105" s="14" t="b">
        <x:v>0</x:v>
      </x:c>
      <x:c r="P105" s="14" t="b">
        <x:v>0</x:v>
      </x:c>
      <x:c r="Q105" s="14" t="b">
        <x:v>0</x:v>
      </x:c>
      <x:c r="R105" s="14" t="b">
        <x:v>1</x:v>
      </x:c>
      <x:c r="S105" s="14" t="b">
        <x:v>0</x:v>
      </x:c>
    </x:row>
    <x:row r="106" ht="15" hidden="0" customHeight="1">
      <x:c r="A106" s="2" t="str">
        <x:v>SG-MC-11-2025062500</x:v>
      </x:c>
      <x:c r="B106" s="2" t="str">
        <x:v>2025-06-25 00:00:00</x:v>
      </x:c>
      <x:c r="C106" s="2" t="str">
        <x:v>MC-11</x:v>
      </x:c>
      <x:c r="D106" s="2" t="str">
        <x:v>PRD-A</x:v>
      </x:c>
      <x:c r="E106" s="2" t="n">
        <x:v>25.018391566929985</x:v>
      </x:c>
      <x:c r="F106" s="2" t="n">
        <x:v>0.0661007852197208</x:v>
      </x:c>
      <x:c r="G106" s="2" t="n">
        <x:v>5</x:v>
      </x:c>
      <x:c r="H106" s="2" t="n">
        <x:v>24.98096531359448</x:v>
      </x:c>
      <x:c r="I106" s="2" t="n">
        <x:v>25.029746559290437</x:v>
      </x:c>
      <x:c r="J106" s="2" t="n">
        <x:v>25.07852780498639</x:v>
      </x:c>
      <x:c r="K106" s="2" t="n">
        <x:v>0</x:v>
      </x:c>
      <x:c r="L106" s="2" t="n">
        <x:v>0.0845428868214142</x:v>
      </x:c>
      <x:c r="M106" s="2" t="n">
        <x:v>0.1787236627404697</x:v>
      </x:c>
      <x:c r="N106" s="14" t="b">
        <x:v>0</x:v>
      </x:c>
      <x:c r="O106" s="14" t="b">
        <x:v>0</x:v>
      </x:c>
      <x:c r="P106" s="14" t="b">
        <x:v>0</x:v>
      </x:c>
      <x:c r="Q106" s="14" t="b">
        <x:v>0</x:v>
      </x:c>
      <x:c r="R106" s="14" t="b">
        <x:v>0</x:v>
      </x:c>
      <x:c r="S106" s="14" t="b">
        <x:v>0</x:v>
      </x:c>
    </x:row>
    <x:row r="107" ht="15" hidden="0" customHeight="1">
      <x:c r="A107" s="2" t="str">
        <x:v>SG-MC-07-2025062500</x:v>
      </x:c>
      <x:c r="B107" s="2" t="str">
        <x:v>2025-06-25 00:00:00</x:v>
      </x:c>
      <x:c r="C107" s="2" t="str">
        <x:v>MC-07</x:v>
      </x:c>
      <x:c r="D107" s="2" t="str">
        <x:v>PRD-A</x:v>
      </x:c>
      <x:c r="E107" s="2" t="n">
        <x:v>24.996118547898103</x:v>
      </x:c>
      <x:c r="F107" s="2" t="n">
        <x:v>0.0806346774956914</x:v>
      </x:c>
      <x:c r="G107" s="2" t="n">
        <x:v>5</x:v>
      </x:c>
      <x:c r="H107" s="2" t="n">
        <x:v>24.98096531359448</x:v>
      </x:c>
      <x:c r="I107" s="2" t="n">
        <x:v>25.029746559290437</x:v>
      </x:c>
      <x:c r="J107" s="2" t="n">
        <x:v>25.07852780498639</x:v>
      </x:c>
      <x:c r="K107" s="2" t="n">
        <x:v>0</x:v>
      </x:c>
      <x:c r="L107" s="2" t="n">
        <x:v>0.0845428868214142</x:v>
      </x:c>
      <x:c r="M107" s="2" t="n">
        <x:v>0.1787236627404697</x:v>
      </x:c>
      <x:c r="N107" s="14" t="b">
        <x:v>0</x:v>
      </x:c>
      <x:c r="O107" s="14" t="b">
        <x:v>1</x:v>
      </x:c>
      <x:c r="P107" s="14" t="b">
        <x:v>0</x:v>
      </x:c>
      <x:c r="Q107" s="14" t="b">
        <x:v>0</x:v>
      </x:c>
      <x:c r="R107" s="14" t="b">
        <x:v>1</x:v>
      </x:c>
      <x:c r="S107" s="14" t="b">
        <x:v>0</x:v>
      </x:c>
    </x:row>
    <x:row r="108" ht="15" hidden="0" customHeight="1">
      <x:c r="A108" s="2" t="str">
        <x:v>SG-MC-03-2025062500</x:v>
      </x:c>
      <x:c r="B108" s="2" t="str">
        <x:v>2025-06-25 00:00:00</x:v>
      </x:c>
      <x:c r="C108" s="2" t="str">
        <x:v>MC-03</x:v>
      </x:c>
      <x:c r="D108" s="2" t="str">
        <x:v>PRD-A</x:v>
      </x:c>
      <x:c r="E108" s="2" t="n">
        <x:v>25.06686069377068</x:v>
      </x:c>
      <x:c r="F108" s="2" t="n">
        <x:v>0.0838898694848246</x:v>
      </x:c>
      <x:c r="G108" s="2" t="n">
        <x:v>5</x:v>
      </x:c>
      <x:c r="H108" s="2" t="n">
        <x:v>24.98096531359448</x:v>
      </x:c>
      <x:c r="I108" s="2" t="n">
        <x:v>25.029746559290437</x:v>
      </x:c>
      <x:c r="J108" s="2" t="n">
        <x:v>25.07852780498639</x:v>
      </x:c>
      <x:c r="K108" s="2" t="n">
        <x:v>0</x:v>
      </x:c>
      <x:c r="L108" s="2" t="n">
        <x:v>0.0845428868214142</x:v>
      </x:c>
      <x:c r="M108" s="2" t="n">
        <x:v>0.1787236627404697</x:v>
      </x:c>
      <x:c r="N108" s="14" t="b">
        <x:v>0</x:v>
      </x:c>
      <x:c r="O108" s="14" t="b">
        <x:v>0</x:v>
      </x:c>
      <x:c r="P108" s="14" t="b">
        <x:v>0</x:v>
      </x:c>
      <x:c r="Q108" s="14" t="b">
        <x:v>0</x:v>
      </x:c>
      <x:c r="R108" s="14" t="b">
        <x:v>0</x:v>
      </x:c>
      <x:c r="S108" s="14" t="b">
        <x:v>0</x:v>
      </x:c>
    </x:row>
    <x:row r="109" ht="15" hidden="0" customHeight="1">
      <x:c r="A109" s="2" t="str">
        <x:v>SG-MC-02-2025062500</x:v>
      </x:c>
      <x:c r="B109" s="2" t="str">
        <x:v>2025-06-25 00:00:00</x:v>
      </x:c>
      <x:c r="C109" s="2" t="str">
        <x:v>MC-02</x:v>
      </x:c>
      <x:c r="D109" s="2" t="str">
        <x:v>PRD-D</x:v>
      </x:c>
      <x:c r="E109" s="2" t="n">
        <x:v>60.03398439109482</x:v>
      </x:c>
      <x:c r="F109" s="2" t="n">
        <x:v>0.1361408209764505</x:v>
      </x:c>
      <x:c r="G109" s="2" t="n">
        <x:v>5</x:v>
      </x:c>
      <x:c r="H109" s="2" t="n">
        <x:v>59.9812332134637</x:v>
      </x:c>
      <x:c r="I109" s="2" t="n">
        <x:v>60.03007765222271</x:v>
      </x:c>
      <x:c r="J109" s="2" t="n">
        <x:v>60.07892209098171</x:v>
      </x:c>
      <x:c r="K109" s="2" t="n">
        <x:v>0</x:v>
      </x:c>
      <x:c r="L109" s="2" t="n">
        <x:v>0.0846524068613621</x:v>
      </x:c>
      <x:c r="M109" s="2" t="n">
        <x:v>0.1789551881049196</x:v>
      </x:c>
      <x:c r="N109" s="14" t="b">
        <x:v>0</x:v>
      </x:c>
      <x:c r="O109" s="14" t="b">
        <x:v>0</x:v>
      </x:c>
      <x:c r="P109" s="14" t="b">
        <x:v>0</x:v>
      </x:c>
      <x:c r="Q109" s="14" t="b">
        <x:v>0</x:v>
      </x:c>
      <x:c r="R109" s="14" t="b">
        <x:v>0</x:v>
      </x:c>
      <x:c r="S109" s="14" t="b">
        <x:v>0</x:v>
      </x:c>
    </x:row>
    <x:row r="110" ht="15" hidden="0" customHeight="1">
      <x:c r="A110" s="2" t="str">
        <x:v>SG-MC-10-2025062500</x:v>
      </x:c>
      <x:c r="B110" s="2" t="str">
        <x:v>2025-06-25 00:00:00</x:v>
      </x:c>
      <x:c r="C110" s="2" t="str">
        <x:v>MC-10</x:v>
      </x:c>
      <x:c r="D110" s="2" t="str">
        <x:v>PRD-D</x:v>
      </x:c>
      <x:c r="E110" s="2" t="n">
        <x:v>60.05265696678639</x:v>
      </x:c>
      <x:c r="F110" s="2" t="n">
        <x:v>0.0963864250131436</x:v>
      </x:c>
      <x:c r="G110" s="2" t="n">
        <x:v>5</x:v>
      </x:c>
      <x:c r="H110" s="2" t="n">
        <x:v>59.9812332134637</x:v>
      </x:c>
      <x:c r="I110" s="2" t="n">
        <x:v>60.03007765222271</x:v>
      </x:c>
      <x:c r="J110" s="2" t="n">
        <x:v>60.07892209098171</x:v>
      </x:c>
      <x:c r="K110" s="2" t="n">
        <x:v>0</x:v>
      </x:c>
      <x:c r="L110" s="2" t="n">
        <x:v>0.0846524068613621</x:v>
      </x:c>
      <x:c r="M110" s="2" t="n">
        <x:v>0.1789551881049196</x:v>
      </x:c>
      <x:c r="N110" s="14" t="b">
        <x:v>0</x:v>
      </x:c>
      <x:c r="O110" s="14" t="b">
        <x:v>0</x:v>
      </x:c>
      <x:c r="P110" s="14" t="b">
        <x:v>0</x:v>
      </x:c>
      <x:c r="Q110" s="14" t="b">
        <x:v>0</x:v>
      </x:c>
      <x:c r="R110" s="14" t="b">
        <x:v>0</x:v>
      </x:c>
      <x:c r="S110" s="14" t="b">
        <x:v>0</x:v>
      </x:c>
    </x:row>
    <x:row r="111" ht="15" hidden="0" customHeight="1">
      <x:c r="A111" s="2" t="str">
        <x:v>SG-MC-08-2025062500</x:v>
      </x:c>
      <x:c r="B111" s="2" t="str">
        <x:v>2025-06-25 00:00:00</x:v>
      </x:c>
      <x:c r="C111" s="2" t="str">
        <x:v>MC-08</x:v>
      </x:c>
      <x:c r="D111" s="2" t="str">
        <x:v>PRD-B</x:v>
      </x:c>
      <x:c r="E111" s="2" t="n">
        <x:v>80.01062184301246</x:v>
      </x:c>
      <x:c r="F111" s="2" t="n">
        <x:v>0.0485561641344958</x:v>
      </x:c>
      <x:c r="G111" s="2" t="n">
        <x:v>5</x:v>
      </x:c>
      <x:c r="H111" s="2" t="n">
        <x:v>79.98133298727322</x:v>
      </x:c>
      <x:c r="I111" s="2" t="n">
        <x:v>80.02998001088412</x:v>
      </x:c>
      <x:c r="J111" s="2" t="n">
        <x:v>80.07862703449501</x:v>
      </x:c>
      <x:c r="K111" s="2" t="n">
        <x:v>0</x:v>
      </x:c>
      <x:c r="L111" s="2" t="n">
        <x:v>0.0843102662233807</x:v>
      </x:c>
      <x:c r="M111" s="2" t="n">
        <x:v>0.1782319027962268</x:v>
      </x:c>
      <x:c r="N111" s="14" t="b">
        <x:v>0</x:v>
      </x:c>
      <x:c r="O111" s="14" t="b">
        <x:v>0</x:v>
      </x:c>
      <x:c r="P111" s="14" t="b">
        <x:v>0</x:v>
      </x:c>
      <x:c r="Q111" s="14" t="b">
        <x:v>0</x:v>
      </x:c>
      <x:c r="R111" s="14" t="b">
        <x:v>0</x:v>
      </x:c>
      <x:c r="S111" s="14" t="b">
        <x:v>0</x:v>
      </x:c>
    </x:row>
    <x:row r="112" ht="15" hidden="0" customHeight="1">
      <x:c r="A112" s="2" t="str">
        <x:v>SG-MC-12-2025062500</x:v>
      </x:c>
      <x:c r="B112" s="2" t="str">
        <x:v>2025-06-25 00:00:00</x:v>
      </x:c>
      <x:c r="C112" s="2" t="str">
        <x:v>MC-12</x:v>
      </x:c>
      <x:c r="D112" s="2" t="str">
        <x:v>PRD-B</x:v>
      </x:c>
      <x:c r="E112" s="2" t="n">
        <x:v>80.01081026011701</x:v>
      </x:c>
      <x:c r="F112" s="2" t="n">
        <x:v>0.0229112066249541</x:v>
      </x:c>
      <x:c r="G112" s="2" t="n">
        <x:v>5</x:v>
      </x:c>
      <x:c r="H112" s="2" t="n">
        <x:v>79.98133298727322</x:v>
      </x:c>
      <x:c r="I112" s="2" t="n">
        <x:v>80.02998001088412</x:v>
      </x:c>
      <x:c r="J112" s="2" t="n">
        <x:v>80.07862703449501</x:v>
      </x:c>
      <x:c r="K112" s="2" t="n">
        <x:v>0</x:v>
      </x:c>
      <x:c r="L112" s="2" t="n">
        <x:v>0.0843102662233807</x:v>
      </x:c>
      <x:c r="M112" s="2" t="n">
        <x:v>0.1782319027962268</x:v>
      </x:c>
      <x:c r="N112" s="14" t="b">
        <x:v>0</x:v>
      </x:c>
      <x:c r="O112" s="14" t="b">
        <x:v>0</x:v>
      </x:c>
      <x:c r="P112" s="14" t="b">
        <x:v>0</x:v>
      </x:c>
      <x:c r="Q112" s="14" t="b">
        <x:v>0</x:v>
      </x:c>
      <x:c r="R112" s="14" t="b">
        <x:v>0</x:v>
      </x:c>
      <x:c r="S112" s="14" t="b">
        <x:v>0</x:v>
      </x:c>
    </x:row>
    <x:row r="113" ht="15" hidden="0" customHeight="1">
      <x:c r="A113" s="2" t="str">
        <x:v>SG-MC-04-2025062500</x:v>
      </x:c>
      <x:c r="B113" s="2" t="str">
        <x:v>2025-06-25 00:00:00</x:v>
      </x:c>
      <x:c r="C113" s="2" t="str">
        <x:v>MC-04</x:v>
      </x:c>
      <x:c r="D113" s="2" t="str">
        <x:v>PRD-B</x:v>
      </x:c>
      <x:c r="E113" s="2" t="n">
        <x:v>80.03600312819907</x:v>
      </x:c>
      <x:c r="F113" s="2" t="n">
        <x:v>0.0450971759428711</x:v>
      </x:c>
      <x:c r="G113" s="2" t="n">
        <x:v>5</x:v>
      </x:c>
      <x:c r="H113" s="2" t="n">
        <x:v>79.98133298727322</x:v>
      </x:c>
      <x:c r="I113" s="2" t="n">
        <x:v>80.02998001088412</x:v>
      </x:c>
      <x:c r="J113" s="2" t="n">
        <x:v>80.07862703449501</x:v>
      </x:c>
      <x:c r="K113" s="2" t="n">
        <x:v>0</x:v>
      </x:c>
      <x:c r="L113" s="2" t="n">
        <x:v>0.0843102662233807</x:v>
      </x:c>
      <x:c r="M113" s="2" t="n">
        <x:v>0.1782319027962268</x:v>
      </x:c>
      <x:c r="N113" s="14" t="b">
        <x:v>0</x:v>
      </x:c>
      <x:c r="O113" s="14" t="b">
        <x:v>0</x:v>
      </x:c>
      <x:c r="P113" s="14" t="b">
        <x:v>0</x:v>
      </x:c>
      <x:c r="Q113" s="14" t="b">
        <x:v>0</x:v>
      </x:c>
      <x:c r="R113" s="14" t="b">
        <x:v>0</x:v>
      </x:c>
      <x:c r="S113" s="14" t="b">
        <x:v>0</x:v>
      </x:c>
    </x:row>
    <x:row r="114" ht="15" hidden="0" customHeight="1">
      <x:c r="A114" s="2" t="str">
        <x:v>SG-MC-01-2025062500</x:v>
      </x:c>
      <x:c r="B114" s="2" t="str">
        <x:v>2025-06-25 00:00:00</x:v>
      </x:c>
      <x:c r="C114" s="2" t="str">
        <x:v>MC-01</x:v>
      </x:c>
      <x:c r="D114" s="2" t="str">
        <x:v>PRD-C</x:v>
      </x:c>
      <x:c r="E114" s="2" t="n">
        <x:v>41.99625920004038</x:v>
      </x:c>
      <x:c r="F114" s="2" t="n">
        <x:v>0.1298453619972122</x:v>
      </x:c>
      <x:c r="G114" s="2" t="n">
        <x:v>5</x:v>
      </x:c>
      <x:c r="H114" s="2" t="n">
        <x:v>41.98128274145005</x:v>
      </x:c>
      <x:c r="I114" s="2" t="n">
        <x:v>42.03038150785648</x:v>
      </x:c>
      <x:c r="J114" s="2" t="n">
        <x:v>42.0794802742629</x:v>
      </x:c>
      <x:c r="K114" s="2" t="n">
        <x:v>0</x:v>
      </x:c>
      <x:c r="L114" s="2" t="n">
        <x:v>0.0850931826801104</x:v>
      </x:c>
      <x:c r="M114" s="2" t="n">
        <x:v>0.1798869881857533</x:v>
      </x:c>
      <x:c r="N114" s="14" t="b">
        <x:v>0</x:v>
      </x:c>
      <x:c r="O114" s="14" t="b">
        <x:v>1</x:v>
      </x:c>
      <x:c r="P114" s="14" t="b">
        <x:v>0</x:v>
      </x:c>
      <x:c r="Q114" s="14" t="b">
        <x:v>0</x:v>
      </x:c>
      <x:c r="R114" s="14" t="b">
        <x:v>1</x:v>
      </x:c>
      <x:c r="S114" s="14" t="b">
        <x:v>0</x:v>
      </x:c>
    </x:row>
    <x:row r="115" ht="15" hidden="0" customHeight="1">
      <x:c r="A115" s="2" t="str">
        <x:v>SG-MC-09-2025062500</x:v>
      </x:c>
      <x:c r="B115" s="2" t="str">
        <x:v>2025-06-25 00:00:00</x:v>
      </x:c>
      <x:c r="C115" s="2" t="str">
        <x:v>MC-09</x:v>
      </x:c>
      <x:c r="D115" s="2" t="str">
        <x:v>PRD-C</x:v>
      </x:c>
      <x:c r="E115" s="2" t="n">
        <x:v>42.04216649943969</x:v>
      </x:c>
      <x:c r="F115" s="2" t="n">
        <x:v>0.0752305039087488</x:v>
      </x:c>
      <x:c r="G115" s="2" t="n">
        <x:v>5</x:v>
      </x:c>
      <x:c r="H115" s="2" t="n">
        <x:v>41.98128274145005</x:v>
      </x:c>
      <x:c r="I115" s="2" t="n">
        <x:v>42.03038150785648</x:v>
      </x:c>
      <x:c r="J115" s="2" t="n">
        <x:v>42.0794802742629</x:v>
      </x:c>
      <x:c r="K115" s="2" t="n">
        <x:v>0</x:v>
      </x:c>
      <x:c r="L115" s="2" t="n">
        <x:v>0.0850931826801104</x:v>
      </x:c>
      <x:c r="M115" s="2" t="n">
        <x:v>0.1798869881857533</x:v>
      </x:c>
      <x:c r="N115" s="14" t="b">
        <x:v>0</x:v>
      </x:c>
      <x:c r="O115" s="14" t="b">
        <x:v>0</x:v>
      </x:c>
      <x:c r="P115" s="14" t="b">
        <x:v>0</x:v>
      </x:c>
      <x:c r="Q115" s="14" t="b">
        <x:v>0</x:v>
      </x:c>
      <x:c r="R115" s="14" t="b">
        <x:v>0</x:v>
      </x:c>
      <x:c r="S115" s="14" t="b">
        <x:v>0</x:v>
      </x:c>
    </x:row>
    <x:row r="116" ht="15" hidden="0" customHeight="1">
      <x:c r="A116" s="2" t="str">
        <x:v>SG-MC-05-2025062500</x:v>
      </x:c>
      <x:c r="B116" s="2" t="str">
        <x:v>2025-06-25 00:00:00</x:v>
      </x:c>
      <x:c r="C116" s="2" t="str">
        <x:v>MC-05</x:v>
      </x:c>
      <x:c r="D116" s="2" t="str">
        <x:v>PRD-C</x:v>
      </x:c>
      <x:c r="E116" s="2" t="n">
        <x:v>42.06759417376738</x:v>
      </x:c>
      <x:c r="F116" s="2" t="n">
        <x:v>0.0743395054898599</x:v>
      </x:c>
      <x:c r="G116" s="2" t="n">
        <x:v>5</x:v>
      </x:c>
      <x:c r="H116" s="2" t="n">
        <x:v>41.98128274145005</x:v>
      </x:c>
      <x:c r="I116" s="2" t="n">
        <x:v>42.03038150785648</x:v>
      </x:c>
      <x:c r="J116" s="2" t="n">
        <x:v>42.0794802742629</x:v>
      </x:c>
      <x:c r="K116" s="2" t="n">
        <x:v>0</x:v>
      </x:c>
      <x:c r="L116" s="2" t="n">
        <x:v>0.0850931826801104</x:v>
      </x:c>
      <x:c r="M116" s="2" t="n">
        <x:v>0.1798869881857533</x:v>
      </x:c>
      <x:c r="N116" s="14" t="b">
        <x:v>0</x:v>
      </x:c>
      <x:c r="O116" s="14" t="b">
        <x:v>0</x:v>
      </x:c>
      <x:c r="P116" s="14" t="b">
        <x:v>0</x:v>
      </x:c>
      <x:c r="Q116" s="14" t="b">
        <x:v>0</x:v>
      </x:c>
      <x:c r="R116" s="14" t="b">
        <x:v>0</x:v>
      </x:c>
      <x:c r="S116" s="14" t="b">
        <x:v>0</x:v>
      </x:c>
    </x:row>
    <x:row r="117" ht="15" hidden="0" customHeight="1">
      <x:c r="A117" s="2" t="str">
        <x:v>SG-MC-06-2025062500</x:v>
      </x:c>
      <x:c r="B117" s="2" t="str">
        <x:v>2025-06-25 00:00:00</x:v>
      </x:c>
      <x:c r="C117" s="2" t="str">
        <x:v>MC-06</x:v>
      </x:c>
      <x:c r="D117" s="2" t="str">
        <x:v>PRD-D</x:v>
      </x:c>
      <x:c r="E117" s="2" t="n">
        <x:v>60.02394037590437</x:v>
      </x:c>
      <x:c r="F117" s="2" t="n">
        <x:v>0.0255946521291434</x:v>
      </x:c>
      <x:c r="G117" s="2" t="n">
        <x:v>5</x:v>
      </x:c>
      <x:c r="H117" s="2" t="n">
        <x:v>59.9812332134637</x:v>
      </x:c>
      <x:c r="I117" s="2" t="n">
        <x:v>60.03007765222271</x:v>
      </x:c>
      <x:c r="J117" s="2" t="n">
        <x:v>60.07892209098171</x:v>
      </x:c>
      <x:c r="K117" s="2" t="n">
        <x:v>0</x:v>
      </x:c>
      <x:c r="L117" s="2" t="n">
        <x:v>0.0846524068613621</x:v>
      </x:c>
      <x:c r="M117" s="2" t="n">
        <x:v>0.1789551881049196</x:v>
      </x:c>
      <x:c r="N117" s="14" t="b">
        <x:v>0</x:v>
      </x:c>
      <x:c r="O117" s="14" t="b">
        <x:v>0</x:v>
      </x:c>
      <x:c r="P117" s="14" t="b">
        <x:v>0</x:v>
      </x:c>
      <x:c r="Q117" s="14" t="b">
        <x:v>0</x:v>
      </x:c>
      <x:c r="R117" s="14" t="b">
        <x:v>0</x:v>
      </x:c>
      <x:c r="S117" s="14" t="b">
        <x:v>0</x:v>
      </x:c>
    </x:row>
    <x:row r="118" ht="15" hidden="0" customHeight="1">
      <x:c r="A118" s="2" t="str">
        <x:v>SG-MC-10-2025062508</x:v>
      </x:c>
      <x:c r="B118" s="2" t="str">
        <x:v>2025-06-25 08:00:00</x:v>
      </x:c>
      <x:c r="C118" s="2" t="str">
        <x:v>MC-10</x:v>
      </x:c>
      <x:c r="D118" s="2" t="str">
        <x:v>PRD-D</x:v>
      </x:c>
      <x:c r="E118" s="2" t="n">
        <x:v>60.06176872421612</x:v>
      </x:c>
      <x:c r="F118" s="2" t="n">
        <x:v>0.12086150115082</x:v>
      </x:c>
      <x:c r="G118" s="2" t="n">
        <x:v>5</x:v>
      </x:c>
      <x:c r="H118" s="2" t="n">
        <x:v>59.9812332134637</x:v>
      </x:c>
      <x:c r="I118" s="2" t="n">
        <x:v>60.03007765222271</x:v>
      </x:c>
      <x:c r="J118" s="2" t="n">
        <x:v>60.07892209098171</x:v>
      </x:c>
      <x:c r="K118" s="2" t="n">
        <x:v>0</x:v>
      </x:c>
      <x:c r="L118" s="2" t="n">
        <x:v>0.0846524068613621</x:v>
      </x:c>
      <x:c r="M118" s="2" t="n">
        <x:v>0.1789551881049196</x:v>
      </x:c>
      <x:c r="N118" s="14" t="b">
        <x:v>0</x:v>
      </x:c>
      <x:c r="O118" s="14" t="b">
        <x:v>0</x:v>
      </x:c>
      <x:c r="P118" s="14" t="b">
        <x:v>0</x:v>
      </x:c>
      <x:c r="Q118" s="14" t="b">
        <x:v>0</x:v>
      </x:c>
      <x:c r="R118" s="14" t="b">
        <x:v>0</x:v>
      </x:c>
      <x:c r="S118" s="14" t="b">
        <x:v>0</x:v>
      </x:c>
    </x:row>
    <x:row r="119" ht="15" hidden="0" customHeight="1">
      <x:c r="A119" s="2" t="str">
        <x:v>SG-MC-06-2025062508</x:v>
      </x:c>
      <x:c r="B119" s="2" t="str">
        <x:v>2025-06-25 08:00:00</x:v>
      </x:c>
      <x:c r="C119" s="2" t="str">
        <x:v>MC-06</x:v>
      </x:c>
      <x:c r="D119" s="2" t="str">
        <x:v>PRD-D</x:v>
      </x:c>
      <x:c r="E119" s="2" t="n">
        <x:v>60.02208892152248</x:v>
      </x:c>
      <x:c r="F119" s="2" t="n">
        <x:v>0.1291593172718848</x:v>
      </x:c>
      <x:c r="G119" s="2" t="n">
        <x:v>5</x:v>
      </x:c>
      <x:c r="H119" s="2" t="n">
        <x:v>59.9812332134637</x:v>
      </x:c>
      <x:c r="I119" s="2" t="n">
        <x:v>60.03007765222271</x:v>
      </x:c>
      <x:c r="J119" s="2" t="n">
        <x:v>60.07892209098171</x:v>
      </x:c>
      <x:c r="K119" s="2" t="n">
        <x:v>0</x:v>
      </x:c>
      <x:c r="L119" s="2" t="n">
        <x:v>0.0846524068613621</x:v>
      </x:c>
      <x:c r="M119" s="2" t="n">
        <x:v>0.1789551881049196</x:v>
      </x:c>
      <x:c r="N119" s="14" t="b">
        <x:v>0</x:v>
      </x:c>
      <x:c r="O119" s="14" t="b">
        <x:v>0</x:v>
      </x:c>
      <x:c r="P119" s="14" t="b">
        <x:v>0</x:v>
      </x:c>
      <x:c r="Q119" s="14" t="b">
        <x:v>0</x:v>
      </x:c>
      <x:c r="R119" s="14" t="b">
        <x:v>0</x:v>
      </x:c>
      <x:c r="S119" s="14" t="b">
        <x:v>0</x:v>
      </x:c>
    </x:row>
    <x:row r="120" ht="15" hidden="0" customHeight="1">
      <x:c r="A120" s="2" t="str">
        <x:v>SG-MC-01-2025062508</x:v>
      </x:c>
      <x:c r="B120" s="2" t="str">
        <x:v>2025-06-25 08:00:00</x:v>
      </x:c>
      <x:c r="C120" s="2" t="str">
        <x:v>MC-01</x:v>
      </x:c>
      <x:c r="D120" s="2" t="str">
        <x:v>PRD-C</x:v>
      </x:c>
      <x:c r="E120" s="2" t="n">
        <x:v>41.99667582450042</x:v>
      </x:c>
      <x:c r="F120" s="2" t="n">
        <x:v>0.0899829721321125</x:v>
      </x:c>
      <x:c r="G120" s="2" t="n">
        <x:v>5</x:v>
      </x:c>
      <x:c r="H120" s="2" t="n">
        <x:v>41.98128274145005</x:v>
      </x:c>
      <x:c r="I120" s="2" t="n">
        <x:v>42.03038150785648</x:v>
      </x:c>
      <x:c r="J120" s="2" t="n">
        <x:v>42.0794802742629</x:v>
      </x:c>
      <x:c r="K120" s="2" t="n">
        <x:v>0</x:v>
      </x:c>
      <x:c r="L120" s="2" t="n">
        <x:v>0.0850931826801104</x:v>
      </x:c>
      <x:c r="M120" s="2" t="n">
        <x:v>0.1798869881857533</x:v>
      </x:c>
      <x:c r="N120" s="14" t="b">
        <x:v>0</x:v>
      </x:c>
      <x:c r="O120" s="14" t="b">
        <x:v>0</x:v>
      </x:c>
      <x:c r="P120" s="14" t="b">
        <x:v>0</x:v>
      </x:c>
      <x:c r="Q120" s="14" t="b">
        <x:v>0</x:v>
      </x:c>
      <x:c r="R120" s="14" t="b">
        <x:v>0</x:v>
      </x:c>
      <x:c r="S120" s="14" t="b">
        <x:v>0</x:v>
      </x:c>
    </x:row>
    <x:row r="121" ht="15" hidden="0" customHeight="1">
      <x:c r="A121" s="2" t="str">
        <x:v>SG-MC-08-2025062508</x:v>
      </x:c>
      <x:c r="B121" s="2" t="str">
        <x:v>2025-06-25 08:00:00</x:v>
      </x:c>
      <x:c r="C121" s="2" t="str">
        <x:v>MC-08</x:v>
      </x:c>
      <x:c r="D121" s="2" t="str">
        <x:v>PRD-B</x:v>
      </x:c>
      <x:c r="E121" s="2" t="n">
        <x:v>80.01940507762397</x:v>
      </x:c>
      <x:c r="F121" s="2" t="n">
        <x:v>0.0487427745268433</x:v>
      </x:c>
      <x:c r="G121" s="2" t="n">
        <x:v>5</x:v>
      </x:c>
      <x:c r="H121" s="2" t="n">
        <x:v>79.98133298727322</x:v>
      </x:c>
      <x:c r="I121" s="2" t="n">
        <x:v>80.02998001088412</x:v>
      </x:c>
      <x:c r="J121" s="2" t="n">
        <x:v>80.07862703449501</x:v>
      </x:c>
      <x:c r="K121" s="2" t="n">
        <x:v>0</x:v>
      </x:c>
      <x:c r="L121" s="2" t="n">
        <x:v>0.0843102662233807</x:v>
      </x:c>
      <x:c r="M121" s="2" t="n">
        <x:v>0.1782319027962268</x:v>
      </x:c>
      <x:c r="N121" s="14" t="b">
        <x:v>0</x:v>
      </x:c>
      <x:c r="O121" s="14" t="b">
        <x:v>0</x:v>
      </x:c>
      <x:c r="P121" s="14" t="b">
        <x:v>0</x:v>
      </x:c>
      <x:c r="Q121" s="14" t="b">
        <x:v>0</x:v>
      </x:c>
      <x:c r="R121" s="14" t="b">
        <x:v>0</x:v>
      </x:c>
      <x:c r="S121" s="14" t="b">
        <x:v>0</x:v>
      </x:c>
    </x:row>
    <x:row r="122" ht="15" hidden="0" customHeight="1">
      <x:c r="A122" s="2" t="str">
        <x:v>SG-MC-02-2025062508</x:v>
      </x:c>
      <x:c r="B122" s="2" t="str">
        <x:v>2025-06-25 08:00:00</x:v>
      </x:c>
      <x:c r="C122" s="2" t="str">
        <x:v>MC-02</x:v>
      </x:c>
      <x:c r="D122" s="2" t="str">
        <x:v>PRD-D</x:v>
      </x:c>
      <x:c r="E122" s="2" t="n">
        <x:v>60.02376200584068</x:v>
      </x:c>
      <x:c r="F122" s="2" t="n">
        <x:v>0.1112796405001859</x:v>
      </x:c>
      <x:c r="G122" s="2" t="n">
        <x:v>5</x:v>
      </x:c>
      <x:c r="H122" s="2" t="n">
        <x:v>59.9812332134637</x:v>
      </x:c>
      <x:c r="I122" s="2" t="n">
        <x:v>60.03007765222271</x:v>
      </x:c>
      <x:c r="J122" s="2" t="n">
        <x:v>60.07892209098171</x:v>
      </x:c>
      <x:c r="K122" s="2" t="n">
        <x:v>0</x:v>
      </x:c>
      <x:c r="L122" s="2" t="n">
        <x:v>0.0846524068613621</x:v>
      </x:c>
      <x:c r="M122" s="2" t="n">
        <x:v>0.1789551881049196</x:v>
      </x:c>
      <x:c r="N122" s="14" t="b">
        <x:v>0</x:v>
      </x:c>
      <x:c r="O122" s="14" t="b">
        <x:v>0</x:v>
      </x:c>
      <x:c r="P122" s="14" t="b">
        <x:v>0</x:v>
      </x:c>
      <x:c r="Q122" s="14" t="b">
        <x:v>0</x:v>
      </x:c>
      <x:c r="R122" s="14" t="b">
        <x:v>0</x:v>
      </x:c>
      <x:c r="S122" s="14" t="b">
        <x:v>0</x:v>
      </x:c>
    </x:row>
    <x:row r="123" ht="15" hidden="0" customHeight="1">
      <x:c r="A123" s="2" t="str">
        <x:v>SG-MC-04-2025062508</x:v>
      </x:c>
      <x:c r="B123" s="2" t="str">
        <x:v>2025-06-25 08:00:00</x:v>
      </x:c>
      <x:c r="C123" s="2" t="str">
        <x:v>MC-04</x:v>
      </x:c>
      <x:c r="D123" s="2" t="str">
        <x:v>PRD-B</x:v>
      </x:c>
      <x:c r="E123" s="2" t="n">
        <x:v>80.04063049672419</x:v>
      </x:c>
      <x:c r="F123" s="2" t="n">
        <x:v>0.0793776270988502</x:v>
      </x:c>
      <x:c r="G123" s="2" t="n">
        <x:v>5</x:v>
      </x:c>
      <x:c r="H123" s="2" t="n">
        <x:v>79.98133298727322</x:v>
      </x:c>
      <x:c r="I123" s="2" t="n">
        <x:v>80.02998001088412</x:v>
      </x:c>
      <x:c r="J123" s="2" t="n">
        <x:v>80.07862703449501</x:v>
      </x:c>
      <x:c r="K123" s="2" t="n">
        <x:v>0</x:v>
      </x:c>
      <x:c r="L123" s="2" t="n">
        <x:v>0.0843102662233807</x:v>
      </x:c>
      <x:c r="M123" s="2" t="n">
        <x:v>0.1782319027962268</x:v>
      </x:c>
      <x:c r="N123" s="14" t="b">
        <x:v>0</x:v>
      </x:c>
      <x:c r="O123" s="14" t="b">
        <x:v>0</x:v>
      </x:c>
      <x:c r="P123" s="14" t="b">
        <x:v>0</x:v>
      </x:c>
      <x:c r="Q123" s="14" t="b">
        <x:v>0</x:v>
      </x:c>
      <x:c r="R123" s="14" t="b">
        <x:v>0</x:v>
      </x:c>
      <x:c r="S123" s="14" t="b">
        <x:v>0</x:v>
      </x:c>
    </x:row>
    <x:row r="124" ht="15" hidden="0" customHeight="1">
      <x:c r="A124" s="2" t="str">
        <x:v>SG-MC-12-2025062508</x:v>
      </x:c>
      <x:c r="B124" s="2" t="str">
        <x:v>2025-06-25 08:00:00</x:v>
      </x:c>
      <x:c r="C124" s="2" t="str">
        <x:v>MC-12</x:v>
      </x:c>
      <x:c r="D124" s="2" t="str">
        <x:v>PRD-B</x:v>
      </x:c>
      <x:c r="E124" s="2" t="n">
        <x:v>80.01876657480891</x:v>
      </x:c>
      <x:c r="F124" s="2" t="n">
        <x:v>0.1144242094726735</x:v>
      </x:c>
      <x:c r="G124" s="2" t="n">
        <x:v>5</x:v>
      </x:c>
      <x:c r="H124" s="2" t="n">
        <x:v>79.98133298727322</x:v>
      </x:c>
      <x:c r="I124" s="2" t="n">
        <x:v>80.02998001088412</x:v>
      </x:c>
      <x:c r="J124" s="2" t="n">
        <x:v>80.07862703449501</x:v>
      </x:c>
      <x:c r="K124" s="2" t="n">
        <x:v>0</x:v>
      </x:c>
      <x:c r="L124" s="2" t="n">
        <x:v>0.0843102662233807</x:v>
      </x:c>
      <x:c r="M124" s="2" t="n">
        <x:v>0.1782319027962268</x:v>
      </x:c>
      <x:c r="N124" s="14" t="b">
        <x:v>0</x:v>
      </x:c>
      <x:c r="O124" s="14" t="b">
        <x:v>0</x:v>
      </x:c>
      <x:c r="P124" s="14" t="b">
        <x:v>0</x:v>
      </x:c>
      <x:c r="Q124" s="14" t="b">
        <x:v>0</x:v>
      </x:c>
      <x:c r="R124" s="14" t="b">
        <x:v>0</x:v>
      </x:c>
      <x:c r="S124" s="14" t="b">
        <x:v>0</x:v>
      </x:c>
    </x:row>
    <x:row r="125" ht="15" hidden="0" customHeight="1">
      <x:c r="A125" s="2" t="str">
        <x:v>SG-MC-05-2025062508</x:v>
      </x:c>
      <x:c r="B125" s="2" t="str">
        <x:v>2025-06-25 08:00:00</x:v>
      </x:c>
      <x:c r="C125" s="2" t="str">
        <x:v>MC-05</x:v>
      </x:c>
      <x:c r="D125" s="2" t="str">
        <x:v>PRD-C</x:v>
      </x:c>
      <x:c r="E125" s="2" t="n">
        <x:v>42.06121560542493</x:v>
      </x:c>
      <x:c r="F125" s="2" t="n">
        <x:v>0.1065181276676554</x:v>
      </x:c>
      <x:c r="G125" s="2" t="n">
        <x:v>5</x:v>
      </x:c>
      <x:c r="H125" s="2" t="n">
        <x:v>41.98128274145005</x:v>
      </x:c>
      <x:c r="I125" s="2" t="n">
        <x:v>42.03038150785648</x:v>
      </x:c>
      <x:c r="J125" s="2" t="n">
        <x:v>42.0794802742629</x:v>
      </x:c>
      <x:c r="K125" s="2" t="n">
        <x:v>0</x:v>
      </x:c>
      <x:c r="L125" s="2" t="n">
        <x:v>0.0850931826801104</x:v>
      </x:c>
      <x:c r="M125" s="2" t="n">
        <x:v>0.1798869881857533</x:v>
      </x:c>
      <x:c r="N125" s="14" t="b">
        <x:v>0</x:v>
      </x:c>
      <x:c r="O125" s="14" t="b">
        <x:v>0</x:v>
      </x:c>
      <x:c r="P125" s="14" t="b">
        <x:v>0</x:v>
      </x:c>
      <x:c r="Q125" s="14" t="b">
        <x:v>0</x:v>
      </x:c>
      <x:c r="R125" s="14" t="b">
        <x:v>0</x:v>
      </x:c>
      <x:c r="S125" s="14" t="b">
        <x:v>0</x:v>
      </x:c>
    </x:row>
    <x:row r="126" ht="15" hidden="0" customHeight="1">
      <x:c r="A126" s="2" t="str">
        <x:v>SG-MC-09-2025062508</x:v>
      </x:c>
      <x:c r="B126" s="2" t="str">
        <x:v>2025-06-25 08:00:00</x:v>
      </x:c>
      <x:c r="C126" s="2" t="str">
        <x:v>MC-09</x:v>
      </x:c>
      <x:c r="D126" s="2" t="str">
        <x:v>PRD-C</x:v>
      </x:c>
      <x:c r="E126" s="2" t="n">
        <x:v>42.01196748039278</x:v>
      </x:c>
      <x:c r="F126" s="2" t="n">
        <x:v>0.0976490735071919</x:v>
      </x:c>
      <x:c r="G126" s="2" t="n">
        <x:v>5</x:v>
      </x:c>
      <x:c r="H126" s="2" t="n">
        <x:v>41.98128274145005</x:v>
      </x:c>
      <x:c r="I126" s="2" t="n">
        <x:v>42.03038150785648</x:v>
      </x:c>
      <x:c r="J126" s="2" t="n">
        <x:v>42.0794802742629</x:v>
      </x:c>
      <x:c r="K126" s="2" t="n">
        <x:v>0</x:v>
      </x:c>
      <x:c r="L126" s="2" t="n">
        <x:v>0.0850931826801104</x:v>
      </x:c>
      <x:c r="M126" s="2" t="n">
        <x:v>0.1798869881857533</x:v>
      </x:c>
      <x:c r="N126" s="14" t="b">
        <x:v>0</x:v>
      </x:c>
      <x:c r="O126" s="14" t="b">
        <x:v>0</x:v>
      </x:c>
      <x:c r="P126" s="14" t="b">
        <x:v>0</x:v>
      </x:c>
      <x:c r="Q126" s="14" t="b">
        <x:v>0</x:v>
      </x:c>
      <x:c r="R126" s="14" t="b">
        <x:v>0</x:v>
      </x:c>
      <x:c r="S126" s="14" t="b">
        <x:v>0</x:v>
      </x:c>
    </x:row>
    <x:row r="127" ht="15" hidden="0" customHeight="1">
      <x:c r="A127" s="2" t="str">
        <x:v>SG-MC-07-2025062508</x:v>
      </x:c>
      <x:c r="B127" s="2" t="str">
        <x:v>2025-06-25 08:00:00</x:v>
      </x:c>
      <x:c r="C127" s="2" t="str">
        <x:v>MC-07</x:v>
      </x:c>
      <x:c r="D127" s="2" t="str">
        <x:v>PRD-A</x:v>
      </x:c>
      <x:c r="E127" s="2" t="n">
        <x:v>25.020581224309375</x:v>
      </x:c>
      <x:c r="F127" s="2" t="n">
        <x:v>0.0687625244107081</x:v>
      </x:c>
      <x:c r="G127" s="2" t="n">
        <x:v>5</x:v>
      </x:c>
      <x:c r="H127" s="2" t="n">
        <x:v>24.98096531359448</x:v>
      </x:c>
      <x:c r="I127" s="2" t="n">
        <x:v>25.029746559290437</x:v>
      </x:c>
      <x:c r="J127" s="2" t="n">
        <x:v>25.07852780498639</x:v>
      </x:c>
      <x:c r="K127" s="2" t="n">
        <x:v>0</x:v>
      </x:c>
      <x:c r="L127" s="2" t="n">
        <x:v>0.0845428868214142</x:v>
      </x:c>
      <x:c r="M127" s="2" t="n">
        <x:v>0.1787236627404697</x:v>
      </x:c>
      <x:c r="N127" s="14" t="b">
        <x:v>0</x:v>
      </x:c>
      <x:c r="O127" s="14" t="b">
        <x:v>0</x:v>
      </x:c>
      <x:c r="P127" s="14" t="b">
        <x:v>0</x:v>
      </x:c>
      <x:c r="Q127" s="14" t="b">
        <x:v>0</x:v>
      </x:c>
      <x:c r="R127" s="14" t="b">
        <x:v>0</x:v>
      </x:c>
      <x:c r="S127" s="14" t="b">
        <x:v>0</x:v>
      </x:c>
    </x:row>
    <x:row r="128" ht="15" hidden="0" customHeight="1">
      <x:c r="A128" s="2" t="str">
        <x:v>SG-MC-11-2025062508</x:v>
      </x:c>
      <x:c r="B128" s="2" t="str">
        <x:v>2025-06-25 08:00:00</x:v>
      </x:c>
      <x:c r="C128" s="2" t="str">
        <x:v>MC-11</x:v>
      </x:c>
      <x:c r="D128" s="2" t="str">
        <x:v>PRD-A</x:v>
      </x:c>
      <x:c r="E128" s="2" t="n">
        <x:v>25.0120682890302</x:v>
      </x:c>
      <x:c r="F128" s="2" t="n">
        <x:v>0.0670681762439144</x:v>
      </x:c>
      <x:c r="G128" s="2" t="n">
        <x:v>5</x:v>
      </x:c>
      <x:c r="H128" s="2" t="n">
        <x:v>24.98096531359448</x:v>
      </x:c>
      <x:c r="I128" s="2" t="n">
        <x:v>25.029746559290437</x:v>
      </x:c>
      <x:c r="J128" s="2" t="n">
        <x:v>25.07852780498639</x:v>
      </x:c>
      <x:c r="K128" s="2" t="n">
        <x:v>0</x:v>
      </x:c>
      <x:c r="L128" s="2" t="n">
        <x:v>0.0845428868214142</x:v>
      </x:c>
      <x:c r="M128" s="2" t="n">
        <x:v>0.1787236627404697</x:v>
      </x:c>
      <x:c r="N128" s="14" t="b">
        <x:v>0</x:v>
      </x:c>
      <x:c r="O128" s="14" t="b">
        <x:v>0</x:v>
      </x:c>
      <x:c r="P128" s="14" t="b">
        <x:v>0</x:v>
      </x:c>
      <x:c r="Q128" s="14" t="b">
        <x:v>0</x:v>
      </x:c>
      <x:c r="R128" s="14" t="b">
        <x:v>0</x:v>
      </x:c>
      <x:c r="S128" s="14" t="b">
        <x:v>0</x:v>
      </x:c>
    </x:row>
    <x:row r="129" ht="15" hidden="0" customHeight="1">
      <x:c r="A129" s="2" t="str">
        <x:v>SG-MC-03-2025062508</x:v>
      </x:c>
      <x:c r="B129" s="2" t="str">
        <x:v>2025-06-25 08:00:00</x:v>
      </x:c>
      <x:c r="C129" s="2" t="str">
        <x:v>MC-03</x:v>
      </x:c>
      <x:c r="D129" s="2" t="str">
        <x:v>PRD-A</x:v>
      </x:c>
      <x:c r="E129" s="2" t="n">
        <x:v>25.044413119362066</x:v>
      </x:c>
      <x:c r="F129" s="2" t="n">
        <x:v>0.0742441012376033</x:v>
      </x:c>
      <x:c r="G129" s="2" t="n">
        <x:v>5</x:v>
      </x:c>
      <x:c r="H129" s="2" t="n">
        <x:v>24.98096531359448</x:v>
      </x:c>
      <x:c r="I129" s="2" t="n">
        <x:v>25.029746559290437</x:v>
      </x:c>
      <x:c r="J129" s="2" t="n">
        <x:v>25.07852780498639</x:v>
      </x:c>
      <x:c r="K129" s="2" t="n">
        <x:v>0</x:v>
      </x:c>
      <x:c r="L129" s="2" t="n">
        <x:v>0.0845428868214142</x:v>
      </x:c>
      <x:c r="M129" s="2" t="n">
        <x:v>0.1787236627404697</x:v>
      </x:c>
      <x:c r="N129" s="14" t="b">
        <x:v>0</x:v>
      </x:c>
      <x:c r="O129" s="14" t="b">
        <x:v>0</x:v>
      </x:c>
      <x:c r="P129" s="14" t="b">
        <x:v>0</x:v>
      </x:c>
      <x:c r="Q129" s="14" t="b">
        <x:v>0</x:v>
      </x:c>
      <x:c r="R129" s="14" t="b">
        <x:v>0</x:v>
      </x:c>
      <x:c r="S129" s="14" t="b">
        <x:v>0</x:v>
      </x:c>
    </x:row>
    <x:row r="130" ht="15" hidden="0" customHeight="1">
      <x:c r="A130" s="2" t="str">
        <x:v>SG-MC-08-2025062516</x:v>
      </x:c>
      <x:c r="B130" s="2" t="str">
        <x:v>2025-06-25 16:00:00</x:v>
      </x:c>
      <x:c r="C130" s="2" t="str">
        <x:v>MC-08</x:v>
      </x:c>
      <x:c r="D130" s="2" t="str">
        <x:v>PRD-B</x:v>
      </x:c>
      <x:c r="E130" s="2" t="n">
        <x:v>80.01471526368375</x:v>
      </x:c>
      <x:c r="F130" s="2" t="n">
        <x:v>0.0804674200659008</x:v>
      </x:c>
      <x:c r="G130" s="2" t="n">
        <x:v>5</x:v>
      </x:c>
      <x:c r="H130" s="2" t="n">
        <x:v>79.98133298727322</x:v>
      </x:c>
      <x:c r="I130" s="2" t="n">
        <x:v>80.02998001088412</x:v>
      </x:c>
      <x:c r="J130" s="2" t="n">
        <x:v>80.07862703449501</x:v>
      </x:c>
      <x:c r="K130" s="2" t="n">
        <x:v>0</x:v>
      </x:c>
      <x:c r="L130" s="2" t="n">
        <x:v>0.0843102662233807</x:v>
      </x:c>
      <x:c r="M130" s="2" t="n">
        <x:v>0.1782319027962268</x:v>
      </x:c>
      <x:c r="N130" s="14" t="b">
        <x:v>0</x:v>
      </x:c>
      <x:c r="O130" s="14" t="b">
        <x:v>0</x:v>
      </x:c>
      <x:c r="P130" s="14" t="b">
        <x:v>0</x:v>
      </x:c>
      <x:c r="Q130" s="14" t="b">
        <x:v>0</x:v>
      </x:c>
      <x:c r="R130" s="14" t="b">
        <x:v>0</x:v>
      </x:c>
      <x:c r="S130" s="14" t="b">
        <x:v>0</x:v>
      </x:c>
    </x:row>
    <x:row r="131" ht="15" hidden="0" customHeight="1">
      <x:c r="A131" s="2" t="str">
        <x:v>SG-MC-02-2025062516</x:v>
      </x:c>
      <x:c r="B131" s="2" t="str">
        <x:v>2025-06-25 16:00:00</x:v>
      </x:c>
      <x:c r="C131" s="2" t="str">
        <x:v>MC-02</x:v>
      </x:c>
      <x:c r="D131" s="2" t="str">
        <x:v>PRD-D</x:v>
      </x:c>
      <x:c r="E131" s="2" t="n">
        <x:v>60.0147770636044</x:v>
      </x:c>
      <x:c r="F131" s="2" t="n">
        <x:v>0.0785328295257059</x:v>
      </x:c>
      <x:c r="G131" s="2" t="n">
        <x:v>5</x:v>
      </x:c>
      <x:c r="H131" s="2" t="n">
        <x:v>59.9812332134637</x:v>
      </x:c>
      <x:c r="I131" s="2" t="n">
        <x:v>60.03007765222271</x:v>
      </x:c>
      <x:c r="J131" s="2" t="n">
        <x:v>60.07892209098171</x:v>
      </x:c>
      <x:c r="K131" s="2" t="n">
        <x:v>0</x:v>
      </x:c>
      <x:c r="L131" s="2" t="n">
        <x:v>0.0846524068613621</x:v>
      </x:c>
      <x:c r="M131" s="2" t="n">
        <x:v>0.1789551881049196</x:v>
      </x:c>
      <x:c r="N131" s="14" t="b">
        <x:v>0</x:v>
      </x:c>
      <x:c r="O131" s="14" t="b">
        <x:v>0</x:v>
      </x:c>
      <x:c r="P131" s="14" t="b">
        <x:v>0</x:v>
      </x:c>
      <x:c r="Q131" s="14" t="b">
        <x:v>0</x:v>
      </x:c>
      <x:c r="R131" s="14" t="b">
        <x:v>0</x:v>
      </x:c>
      <x:c r="S131" s="14" t="b">
        <x:v>0</x:v>
      </x:c>
    </x:row>
    <x:row r="132" ht="15" hidden="0" customHeight="1">
      <x:c r="A132" s="2" t="str">
        <x:v>SG-MC-04-2025062516</x:v>
      </x:c>
      <x:c r="B132" s="2" t="str">
        <x:v>2025-06-25 16:00:00</x:v>
      </x:c>
      <x:c r="C132" s="2" t="str">
        <x:v>MC-04</x:v>
      </x:c>
      <x:c r="D132" s="2" t="str">
        <x:v>PRD-B</x:v>
      </x:c>
      <x:c r="E132" s="2" t="n">
        <x:v>80.03170931238675</x:v>
      </x:c>
      <x:c r="F132" s="2" t="n">
        <x:v>0.1127412328538781</x:v>
      </x:c>
      <x:c r="G132" s="2" t="n">
        <x:v>5</x:v>
      </x:c>
      <x:c r="H132" s="2" t="n">
        <x:v>79.98133298727322</x:v>
      </x:c>
      <x:c r="I132" s="2" t="n">
        <x:v>80.02998001088412</x:v>
      </x:c>
      <x:c r="J132" s="2" t="n">
        <x:v>80.07862703449501</x:v>
      </x:c>
      <x:c r="K132" s="2" t="n">
        <x:v>0</x:v>
      </x:c>
      <x:c r="L132" s="2" t="n">
        <x:v>0.0843102662233807</x:v>
      </x:c>
      <x:c r="M132" s="2" t="n">
        <x:v>0.1782319027962268</x:v>
      </x:c>
      <x:c r="N132" s="14" t="b">
        <x:v>0</x:v>
      </x:c>
      <x:c r="O132" s="14" t="b">
        <x:v>0</x:v>
      </x:c>
      <x:c r="P132" s="14" t="b">
        <x:v>0</x:v>
      </x:c>
      <x:c r="Q132" s="14" t="b">
        <x:v>0</x:v>
      </x:c>
      <x:c r="R132" s="14" t="b">
        <x:v>0</x:v>
      </x:c>
      <x:c r="S132" s="14" t="b">
        <x:v>0</x:v>
      </x:c>
    </x:row>
    <x:row r="133" ht="15" hidden="0" customHeight="1">
      <x:c r="A133" s="2" t="str">
        <x:v>SG-MC-09-2025062516</x:v>
      </x:c>
      <x:c r="B133" s="2" t="str">
        <x:v>2025-06-25 16:00:00</x:v>
      </x:c>
      <x:c r="C133" s="2" t="str">
        <x:v>MC-09</x:v>
      </x:c>
      <x:c r="D133" s="2" t="str">
        <x:v>PRD-C</x:v>
      </x:c>
      <x:c r="E133" s="2" t="n">
        <x:v>42.072408386058925</x:v>
      </x:c>
      <x:c r="F133" s="2" t="n">
        <x:v>0.0729391868236604</x:v>
      </x:c>
      <x:c r="G133" s="2" t="n">
        <x:v>5</x:v>
      </x:c>
      <x:c r="H133" s="2" t="n">
        <x:v>41.98128274145005</x:v>
      </x:c>
      <x:c r="I133" s="2" t="n">
        <x:v>42.03038150785648</x:v>
      </x:c>
      <x:c r="J133" s="2" t="n">
        <x:v>42.0794802742629</x:v>
      </x:c>
      <x:c r="K133" s="2" t="n">
        <x:v>0</x:v>
      </x:c>
      <x:c r="L133" s="2" t="n">
        <x:v>0.0850931826801104</x:v>
      </x:c>
      <x:c r="M133" s="2" t="n">
        <x:v>0.1798869881857533</x:v>
      </x:c>
      <x:c r="N133" s="14" t="b">
        <x:v>0</x:v>
      </x:c>
      <x:c r="O133" s="14" t="b">
        <x:v>0</x:v>
      </x:c>
      <x:c r="P133" s="14" t="b">
        <x:v>0</x:v>
      </x:c>
      <x:c r="Q133" s="14" t="b">
        <x:v>0</x:v>
      </x:c>
      <x:c r="R133" s="14" t="b">
        <x:v>0</x:v>
      </x:c>
      <x:c r="S133" s="14" t="b">
        <x:v>0</x:v>
      </x:c>
    </x:row>
    <x:row r="134" ht="15" hidden="0" customHeight="1">
      <x:c r="A134" s="2" t="str">
        <x:v>SG-MC-01-2025062516</x:v>
      </x:c>
      <x:c r="B134" s="2" t="str">
        <x:v>2025-06-25 16:00:00</x:v>
      </x:c>
      <x:c r="C134" s="2" t="str">
        <x:v>MC-01</x:v>
      </x:c>
      <x:c r="D134" s="2" t="str">
        <x:v>PRD-C</x:v>
      </x:c>
      <x:c r="E134" s="2" t="n">
        <x:v>42.038407884871205</x:v>
      </x:c>
      <x:c r="F134" s="2" t="n">
        <x:v>0.1032174104162209</x:v>
      </x:c>
      <x:c r="G134" s="2" t="n">
        <x:v>5</x:v>
      </x:c>
      <x:c r="H134" s="2" t="n">
        <x:v>41.98128274145005</x:v>
      </x:c>
      <x:c r="I134" s="2" t="n">
        <x:v>42.03038150785648</x:v>
      </x:c>
      <x:c r="J134" s="2" t="n">
        <x:v>42.0794802742629</x:v>
      </x:c>
      <x:c r="K134" s="2" t="n">
        <x:v>0</x:v>
      </x:c>
      <x:c r="L134" s="2" t="n">
        <x:v>0.0850931826801104</x:v>
      </x:c>
      <x:c r="M134" s="2" t="n">
        <x:v>0.1798869881857533</x:v>
      </x:c>
      <x:c r="N134" s="14" t="b">
        <x:v>0</x:v>
      </x:c>
      <x:c r="O134" s="14" t="b">
        <x:v>0</x:v>
      </x:c>
      <x:c r="P134" s="14" t="b">
        <x:v>0</x:v>
      </x:c>
      <x:c r="Q134" s="14" t="b">
        <x:v>0</x:v>
      </x:c>
      <x:c r="R134" s="14" t="b">
        <x:v>0</x:v>
      </x:c>
      <x:c r="S134" s="14" t="b">
        <x:v>0</x:v>
      </x:c>
    </x:row>
    <x:row r="135" ht="15" hidden="0" customHeight="1">
      <x:c r="A135" s="2" t="str">
        <x:v>SG-MC-05-2025062516</x:v>
      </x:c>
      <x:c r="B135" s="2" t="str">
        <x:v>2025-06-25 16:00:00</x:v>
      </x:c>
      <x:c r="C135" s="2" t="str">
        <x:v>MC-05</x:v>
      </x:c>
      <x:c r="D135" s="2" t="str">
        <x:v>PRD-C</x:v>
      </x:c>
      <x:c r="E135" s="2" t="n">
        <x:v>42.055651495759946</x:v>
      </x:c>
      <x:c r="F135" s="2" t="n">
        <x:v>0.0562205212761242</x:v>
      </x:c>
      <x:c r="G135" s="2" t="n">
        <x:v>5</x:v>
      </x:c>
      <x:c r="H135" s="2" t="n">
        <x:v>41.98128274145005</x:v>
      </x:c>
      <x:c r="I135" s="2" t="n">
        <x:v>42.03038150785648</x:v>
      </x:c>
      <x:c r="J135" s="2" t="n">
        <x:v>42.0794802742629</x:v>
      </x:c>
      <x:c r="K135" s="2" t="n">
        <x:v>0</x:v>
      </x:c>
      <x:c r="L135" s="2" t="n">
        <x:v>0.0850931826801104</x:v>
      </x:c>
      <x:c r="M135" s="2" t="n">
        <x:v>0.1798869881857533</x:v>
      </x:c>
      <x:c r="N135" s="14" t="b">
        <x:v>0</x:v>
      </x:c>
      <x:c r="O135" s="14" t="b">
        <x:v>0</x:v>
      </x:c>
      <x:c r="P135" s="14" t="b">
        <x:v>0</x:v>
      </x:c>
      <x:c r="Q135" s="14" t="b">
        <x:v>0</x:v>
      </x:c>
      <x:c r="R135" s="14" t="b">
        <x:v>0</x:v>
      </x:c>
      <x:c r="S135" s="14" t="b">
        <x:v>0</x:v>
      </x:c>
    </x:row>
    <x:row r="136" ht="15" hidden="0" customHeight="1">
      <x:c r="A136" s="2" t="str">
        <x:v>SG-MC-10-2025062516</x:v>
      </x:c>
      <x:c r="B136" s="2" t="str">
        <x:v>2025-06-25 16:00:00</x:v>
      </x:c>
      <x:c r="C136" s="2" t="str">
        <x:v>MC-10</x:v>
      </x:c>
      <x:c r="D136" s="2" t="str">
        <x:v>PRD-D</x:v>
      </x:c>
      <x:c r="E136" s="2" t="n">
        <x:v>60.05509692151391</x:v>
      </x:c>
      <x:c r="F136" s="2" t="n">
        <x:v>0.061568267670907</x:v>
      </x:c>
      <x:c r="G136" s="2" t="n">
        <x:v>5</x:v>
      </x:c>
      <x:c r="H136" s="2" t="n">
        <x:v>59.9812332134637</x:v>
      </x:c>
      <x:c r="I136" s="2" t="n">
        <x:v>60.03007765222271</x:v>
      </x:c>
      <x:c r="J136" s="2" t="n">
        <x:v>60.07892209098171</x:v>
      </x:c>
      <x:c r="K136" s="2" t="n">
        <x:v>0</x:v>
      </x:c>
      <x:c r="L136" s="2" t="n">
        <x:v>0.0846524068613621</x:v>
      </x:c>
      <x:c r="M136" s="2" t="n">
        <x:v>0.1789551881049196</x:v>
      </x:c>
      <x:c r="N136" s="14" t="b">
        <x:v>0</x:v>
      </x:c>
      <x:c r="O136" s="14" t="b">
        <x:v>0</x:v>
      </x:c>
      <x:c r="P136" s="14" t="b">
        <x:v>0</x:v>
      </x:c>
      <x:c r="Q136" s="14" t="b">
        <x:v>0</x:v>
      </x:c>
      <x:c r="R136" s="14" t="b">
        <x:v>0</x:v>
      </x:c>
      <x:c r="S136" s="14" t="b">
        <x:v>0</x:v>
      </x:c>
    </x:row>
    <x:row r="137" ht="15" hidden="0" customHeight="1">
      <x:c r="A137" s="2" t="str">
        <x:v>SG-MC-12-2025062516</x:v>
      </x:c>
      <x:c r="B137" s="2" t="str">
        <x:v>2025-06-25 16:00:00</x:v>
      </x:c>
      <x:c r="C137" s="2" t="str">
        <x:v>MC-12</x:v>
      </x:c>
      <x:c r="D137" s="2" t="str">
        <x:v>PRD-B</x:v>
      </x:c>
      <x:c r="E137" s="2" t="n">
        <x:v>79.99698153530626</x:v>
      </x:c>
      <x:c r="F137" s="2" t="n">
        <x:v>0.0767639585243813</x:v>
      </x:c>
      <x:c r="G137" s="2" t="n">
        <x:v>5</x:v>
      </x:c>
      <x:c r="H137" s="2" t="n">
        <x:v>79.98133298727322</x:v>
      </x:c>
      <x:c r="I137" s="2" t="n">
        <x:v>80.02998001088412</x:v>
      </x:c>
      <x:c r="J137" s="2" t="n">
        <x:v>80.07862703449501</x:v>
      </x:c>
      <x:c r="K137" s="2" t="n">
        <x:v>0</x:v>
      </x:c>
      <x:c r="L137" s="2" t="n">
        <x:v>0.0843102662233807</x:v>
      </x:c>
      <x:c r="M137" s="2" t="n">
        <x:v>0.1782319027962268</x:v>
      </x:c>
      <x:c r="N137" s="14" t="b">
        <x:v>0</x:v>
      </x:c>
      <x:c r="O137" s="14" t="b">
        <x:v>0</x:v>
      </x:c>
      <x:c r="P137" s="14" t="b">
        <x:v>0</x:v>
      </x:c>
      <x:c r="Q137" s="14" t="b">
        <x:v>0</x:v>
      </x:c>
      <x:c r="R137" s="14" t="b">
        <x:v>0</x:v>
      </x:c>
      <x:c r="S137" s="14" t="b">
        <x:v>0</x:v>
      </x:c>
    </x:row>
    <x:row r="138" ht="15" hidden="0" customHeight="1">
      <x:c r="A138" s="2" t="str">
        <x:v>SG-MC-06-2025062516</x:v>
      </x:c>
      <x:c r="B138" s="2" t="str">
        <x:v>2025-06-25 16:00:00</x:v>
      </x:c>
      <x:c r="C138" s="2" t="str">
        <x:v>MC-06</x:v>
      </x:c>
      <x:c r="D138" s="2" t="str">
        <x:v>PRD-D</x:v>
      </x:c>
      <x:c r="E138" s="2" t="n">
        <x:v>60.04646992747509</x:v>
      </x:c>
      <x:c r="F138" s="2" t="n">
        <x:v>0.0790915632857363</x:v>
      </x:c>
      <x:c r="G138" s="2" t="n">
        <x:v>5</x:v>
      </x:c>
      <x:c r="H138" s="2" t="n">
        <x:v>59.9812332134637</x:v>
      </x:c>
      <x:c r="I138" s="2" t="n">
        <x:v>60.03007765222271</x:v>
      </x:c>
      <x:c r="J138" s="2" t="n">
        <x:v>60.07892209098171</x:v>
      </x:c>
      <x:c r="K138" s="2" t="n">
        <x:v>0</x:v>
      </x:c>
      <x:c r="L138" s="2" t="n">
        <x:v>0.0846524068613621</x:v>
      </x:c>
      <x:c r="M138" s="2" t="n">
        <x:v>0.1789551881049196</x:v>
      </x:c>
      <x:c r="N138" s="14" t="b">
        <x:v>0</x:v>
      </x:c>
      <x:c r="O138" s="14" t="b">
        <x:v>0</x:v>
      </x:c>
      <x:c r="P138" s="14" t="b">
        <x:v>0</x:v>
      </x:c>
      <x:c r="Q138" s="14" t="b">
        <x:v>0</x:v>
      </x:c>
      <x:c r="R138" s="14" t="b">
        <x:v>0</x:v>
      </x:c>
      <x:c r="S138" s="14" t="b">
        <x:v>0</x:v>
      </x:c>
    </x:row>
    <x:row r="139" ht="15" hidden="0" customHeight="1">
      <x:c r="A139" s="2" t="str">
        <x:v>SG-MC-03-2025062516</x:v>
      </x:c>
      <x:c r="B139" s="2" t="str">
        <x:v>2025-06-25 16:00:00</x:v>
      </x:c>
      <x:c r="C139" s="2" t="str">
        <x:v>MC-03</x:v>
      </x:c>
      <x:c r="D139" s="2" t="str">
        <x:v>PRD-A</x:v>
      </x:c>
      <x:c r="E139" s="2" t="n">
        <x:v>25.05165126343786</x:v>
      </x:c>
      <x:c r="F139" s="2" t="n">
        <x:v>0.1814651377282565</x:v>
      </x:c>
      <x:c r="G139" s="2" t="n">
        <x:v>5</x:v>
      </x:c>
      <x:c r="H139" s="2" t="n">
        <x:v>24.98096531359448</x:v>
      </x:c>
      <x:c r="I139" s="2" t="n">
        <x:v>25.029746559290437</x:v>
      </x:c>
      <x:c r="J139" s="2" t="n">
        <x:v>25.07852780498639</x:v>
      </x:c>
      <x:c r="K139" s="2" t="n">
        <x:v>0</x:v>
      </x:c>
      <x:c r="L139" s="2" t="n">
        <x:v>0.0845428868214142</x:v>
      </x:c>
      <x:c r="M139" s="2" t="n">
        <x:v>0.1787236627404697</x:v>
      </x:c>
      <x:c r="N139" s="14" t="b">
        <x:v>0</x:v>
      </x:c>
      <x:c r="O139" s="14" t="b">
        <x:v>0</x:v>
      </x:c>
      <x:c r="P139" s="14" t="b">
        <x:v>0</x:v>
      </x:c>
      <x:c r="Q139" s="14" t="b">
        <x:v>0</x:v>
      </x:c>
      <x:c r="R139" s="14" t="b">
        <x:v>0</x:v>
      </x:c>
      <x:c r="S139" s="14" t="b">
        <x:v>1</x:v>
      </x:c>
    </x:row>
    <x:row r="140" ht="15" hidden="0" customHeight="1">
      <x:c r="A140" s="2" t="str">
        <x:v>SG-MC-07-2025062516</x:v>
      </x:c>
      <x:c r="B140" s="2" t="str">
        <x:v>2025-06-25 16:00:00</x:v>
      </x:c>
      <x:c r="C140" s="2" t="str">
        <x:v>MC-07</x:v>
      </x:c>
      <x:c r="D140" s="2" t="str">
        <x:v>PRD-A</x:v>
      </x:c>
      <x:c r="E140" s="2" t="n">
        <x:v>25.01972235889377</x:v>
      </x:c>
      <x:c r="F140" s="2" t="n">
        <x:v>0.0739306329297164</x:v>
      </x:c>
      <x:c r="G140" s="2" t="n">
        <x:v>5</x:v>
      </x:c>
      <x:c r="H140" s="2" t="n">
        <x:v>24.98096531359448</x:v>
      </x:c>
      <x:c r="I140" s="2" t="n">
        <x:v>25.029746559290437</x:v>
      </x:c>
      <x:c r="J140" s="2" t="n">
        <x:v>25.07852780498639</x:v>
      </x:c>
      <x:c r="K140" s="2" t="n">
        <x:v>0</x:v>
      </x:c>
      <x:c r="L140" s="2" t="n">
        <x:v>0.0845428868214142</x:v>
      </x:c>
      <x:c r="M140" s="2" t="n">
        <x:v>0.1787236627404697</x:v>
      </x:c>
      <x:c r="N140" s="14" t="b">
        <x:v>0</x:v>
      </x:c>
      <x:c r="O140" s="14" t="b">
        <x:v>0</x:v>
      </x:c>
      <x:c r="P140" s="14" t="b">
        <x:v>0</x:v>
      </x:c>
      <x:c r="Q140" s="14" t="b">
        <x:v>0</x:v>
      </x:c>
      <x:c r="R140" s="14" t="b">
        <x:v>0</x:v>
      </x:c>
      <x:c r="S140" s="14" t="b">
        <x:v>0</x:v>
      </x:c>
    </x:row>
    <x:row r="141" ht="15" hidden="0" customHeight="1">
      <x:c r="A141" s="2" t="str">
        <x:v>SG-MC-11-2025062516</x:v>
      </x:c>
      <x:c r="B141" s="2" t="str">
        <x:v>2025-06-25 16:00:00</x:v>
      </x:c>
      <x:c r="C141" s="2" t="str">
        <x:v>MC-11</x:v>
      </x:c>
      <x:c r="D141" s="2" t="str">
        <x:v>PRD-A</x:v>
      </x:c>
      <x:c r="E141" s="2" t="n">
        <x:v>24.97548695305239</x:v>
      </x:c>
      <x:c r="F141" s="2" t="n">
        <x:v>0.0925432571045554</x:v>
      </x:c>
      <x:c r="G141" s="2" t="n">
        <x:v>5</x:v>
      </x:c>
      <x:c r="H141" s="2" t="n">
        <x:v>24.98096531359448</x:v>
      </x:c>
      <x:c r="I141" s="2" t="n">
        <x:v>25.029746559290437</x:v>
      </x:c>
      <x:c r="J141" s="2" t="n">
        <x:v>25.07852780498639</x:v>
      </x:c>
      <x:c r="K141" s="2" t="n">
        <x:v>0</x:v>
      </x:c>
      <x:c r="L141" s="2" t="n">
        <x:v>0.0845428868214142</x:v>
      </x:c>
      <x:c r="M141" s="2" t="n">
        <x:v>0.1787236627404697</x:v>
      </x:c>
      <x:c r="N141" s="14" t="b">
        <x:v>1</x:v>
      </x:c>
      <x:c r="O141" s="14" t="b">
        <x:v>0</x:v>
      </x:c>
      <x:c r="P141" s="14" t="b">
        <x:v>0</x:v>
      </x:c>
      <x:c r="Q141" s="14" t="b">
        <x:v>0</x:v>
      </x:c>
      <x:c r="R141" s="14" t="b">
        <x:v>1</x:v>
      </x:c>
      <x:c r="S141" s="14" t="b">
        <x:v>0</x:v>
      </x:c>
    </x:row>
    <x:row r="142" ht="15" hidden="0" customHeight="1">
      <x:c r="A142" s="2" t="str">
        <x:v>SG-MC-11-2025062600</x:v>
      </x:c>
      <x:c r="B142" s="2" t="str">
        <x:v>2025-06-26 00:00:00</x:v>
      </x:c>
      <x:c r="C142" s="2" t="str">
        <x:v>MC-11</x:v>
      </x:c>
      <x:c r="D142" s="2" t="str">
        <x:v>PRD-B</x:v>
      </x:c>
      <x:c r="E142" s="2" t="n">
        <x:v>80.01720371207043</x:v>
      </x:c>
      <x:c r="F142" s="2" t="n">
        <x:v>0.1021308003943204</x:v>
      </x:c>
      <x:c r="G142" s="2" t="n">
        <x:v>5</x:v>
      </x:c>
      <x:c r="H142" s="2" t="n">
        <x:v>79.98133298727322</x:v>
      </x:c>
      <x:c r="I142" s="2" t="n">
        <x:v>80.02998001088412</x:v>
      </x:c>
      <x:c r="J142" s="2" t="n">
        <x:v>80.07862703449501</x:v>
      </x:c>
      <x:c r="K142" s="2" t="n">
        <x:v>0</x:v>
      </x:c>
      <x:c r="L142" s="2" t="n">
        <x:v>0.0843102662233807</x:v>
      </x:c>
      <x:c r="M142" s="2" t="n">
        <x:v>0.1782319027962268</x:v>
      </x:c>
      <x:c r="N142" s="14" t="b">
        <x:v>0</x:v>
      </x:c>
      <x:c r="O142" s="14" t="b">
        <x:v>0</x:v>
      </x:c>
      <x:c r="P142" s="14" t="b">
        <x:v>0</x:v>
      </x:c>
      <x:c r="Q142" s="14" t="b">
        <x:v>0</x:v>
      </x:c>
      <x:c r="R142" s="14" t="b">
        <x:v>0</x:v>
      </x:c>
      <x:c r="S142" s="14" t="b">
        <x:v>0</x:v>
      </x:c>
    </x:row>
    <x:row r="143" ht="15" hidden="0" customHeight="1">
      <x:c r="A143" s="2" t="str">
        <x:v>SG-MC-07-2025062600</x:v>
      </x:c>
      <x:c r="B143" s="2" t="str">
        <x:v>2025-06-26 00:00:00</x:v>
      </x:c>
      <x:c r="C143" s="2" t="str">
        <x:v>MC-07</x:v>
      </x:c>
      <x:c r="D143" s="2" t="str">
        <x:v>PRD-B</x:v>
      </x:c>
      <x:c r="E143" s="2" t="n">
        <x:v>79.98534702009127</x:v>
      </x:c>
      <x:c r="F143" s="2" t="n">
        <x:v>0.0502853536158767</x:v>
      </x:c>
      <x:c r="G143" s="2" t="n">
        <x:v>5</x:v>
      </x:c>
      <x:c r="H143" s="2" t="n">
        <x:v>79.98133298727322</x:v>
      </x:c>
      <x:c r="I143" s="2" t="n">
        <x:v>80.02998001088412</x:v>
      </x:c>
      <x:c r="J143" s="2" t="n">
        <x:v>80.07862703449501</x:v>
      </x:c>
      <x:c r="K143" s="2" t="n">
        <x:v>0</x:v>
      </x:c>
      <x:c r="L143" s="2" t="n">
        <x:v>0.0843102662233807</x:v>
      </x:c>
      <x:c r="M143" s="2" t="n">
        <x:v>0.1782319027962268</x:v>
      </x:c>
      <x:c r="N143" s="14" t="b">
        <x:v>0</x:v>
      </x:c>
      <x:c r="O143" s="14" t="b">
        <x:v>0</x:v>
      </x:c>
      <x:c r="P143" s="14" t="b">
        <x:v>0</x:v>
      </x:c>
      <x:c r="Q143" s="14" t="b">
        <x:v>0</x:v>
      </x:c>
      <x:c r="R143" s="14" t="b">
        <x:v>0</x:v>
      </x:c>
      <x:c r="S143" s="14" t="b">
        <x:v>0</x:v>
      </x:c>
    </x:row>
    <x:row r="144" ht="15" hidden="0" customHeight="1">
      <x:c r="A144" s="2" t="str">
        <x:v>SG-MC-03-2025062600</x:v>
      </x:c>
      <x:c r="B144" s="2" t="str">
        <x:v>2025-06-26 00:00:00</x:v>
      </x:c>
      <x:c r="C144" s="2" t="str">
        <x:v>MC-03</x:v>
      </x:c>
      <x:c r="D144" s="2" t="str">
        <x:v>PRD-B</x:v>
      </x:c>
      <x:c r="E144" s="2" t="n">
        <x:v>80.07631643031718</x:v>
      </x:c>
      <x:c r="F144" s="2" t="n">
        <x:v>0.1196555740766598</x:v>
      </x:c>
      <x:c r="G144" s="2" t="n">
        <x:v>5</x:v>
      </x:c>
      <x:c r="H144" s="2" t="n">
        <x:v>79.98133298727322</x:v>
      </x:c>
      <x:c r="I144" s="2" t="n">
        <x:v>80.02998001088412</x:v>
      </x:c>
      <x:c r="J144" s="2" t="n">
        <x:v>80.07862703449501</x:v>
      </x:c>
      <x:c r="K144" s="2" t="n">
        <x:v>0</x:v>
      </x:c>
      <x:c r="L144" s="2" t="n">
        <x:v>0.0843102662233807</x:v>
      </x:c>
      <x:c r="M144" s="2" t="n">
        <x:v>0.1782319027962268</x:v>
      </x:c>
      <x:c r="N144" s="14" t="b">
        <x:v>0</x:v>
      </x:c>
      <x:c r="O144" s="14" t="b">
        <x:v>0</x:v>
      </x:c>
      <x:c r="P144" s="14" t="b">
        <x:v>0</x:v>
      </x:c>
      <x:c r="Q144" s="14" t="b">
        <x:v>0</x:v>
      </x:c>
      <x:c r="R144" s="14" t="b">
        <x:v>0</x:v>
      </x:c>
      <x:c r="S144" s="14" t="b">
        <x:v>0</x:v>
      </x:c>
    </x:row>
    <x:row r="145" ht="15" hidden="0" customHeight="1">
      <x:c r="A145" s="2" t="str">
        <x:v>SG-MC-01-2025062600</x:v>
      </x:c>
      <x:c r="B145" s="2" t="str">
        <x:v>2025-06-26 00:00:00</x:v>
      </x:c>
      <x:c r="C145" s="2" t="str">
        <x:v>MC-01</x:v>
      </x:c>
      <x:c r="D145" s="2" t="str">
        <x:v>PRD-D</x:v>
      </x:c>
      <x:c r="E145" s="2" t="n">
        <x:v>60.03885218629608</x:v>
      </x:c>
      <x:c r="F145" s="2" t="n">
        <x:v>0.0646395700393895</x:v>
      </x:c>
      <x:c r="G145" s="2" t="n">
        <x:v>5</x:v>
      </x:c>
      <x:c r="H145" s="2" t="n">
        <x:v>59.9812332134637</x:v>
      </x:c>
      <x:c r="I145" s="2" t="n">
        <x:v>60.03007765222271</x:v>
      </x:c>
      <x:c r="J145" s="2" t="n">
        <x:v>60.07892209098171</x:v>
      </x:c>
      <x:c r="K145" s="2" t="n">
        <x:v>0</x:v>
      </x:c>
      <x:c r="L145" s="2" t="n">
        <x:v>0.0846524068613621</x:v>
      </x:c>
      <x:c r="M145" s="2" t="n">
        <x:v>0.1789551881049196</x:v>
      </x:c>
      <x:c r="N145" s="14" t="b">
        <x:v>0</x:v>
      </x:c>
      <x:c r="O145" s="14" t="b">
        <x:v>0</x:v>
      </x:c>
      <x:c r="P145" s="14" t="b">
        <x:v>0</x:v>
      </x:c>
      <x:c r="Q145" s="14" t="b">
        <x:v>0</x:v>
      </x:c>
      <x:c r="R145" s="14" t="b">
        <x:v>0</x:v>
      </x:c>
      <x:c r="S145" s="14" t="b">
        <x:v>0</x:v>
      </x:c>
    </x:row>
    <x:row r="146" ht="15" hidden="0" customHeight="1">
      <x:c r="A146" s="2" t="str">
        <x:v>SG-MC-09-2025062600</x:v>
      </x:c>
      <x:c r="B146" s="2" t="str">
        <x:v>2025-06-26 00:00:00</x:v>
      </x:c>
      <x:c r="C146" s="2" t="str">
        <x:v>MC-09</x:v>
      </x:c>
      <x:c r="D146" s="2" t="str">
        <x:v>PRD-D</x:v>
      </x:c>
      <x:c r="E146" s="2" t="n">
        <x:v>60.027495742781255</x:v>
      </x:c>
      <x:c r="F146" s="2" t="n">
        <x:v>0.0509743123596422</x:v>
      </x:c>
      <x:c r="G146" s="2" t="n">
        <x:v>5</x:v>
      </x:c>
      <x:c r="H146" s="2" t="n">
        <x:v>59.9812332134637</x:v>
      </x:c>
      <x:c r="I146" s="2" t="n">
        <x:v>60.03007765222271</x:v>
      </x:c>
      <x:c r="J146" s="2" t="n">
        <x:v>60.07892209098171</x:v>
      </x:c>
      <x:c r="K146" s="2" t="n">
        <x:v>0</x:v>
      </x:c>
      <x:c r="L146" s="2" t="n">
        <x:v>0.0846524068613621</x:v>
      </x:c>
      <x:c r="M146" s="2" t="n">
        <x:v>0.1789551881049196</x:v>
      </x:c>
      <x:c r="N146" s="14" t="b">
        <x:v>0</x:v>
      </x:c>
      <x:c r="O146" s="14" t="b">
        <x:v>0</x:v>
      </x:c>
      <x:c r="P146" s="14" t="b">
        <x:v>0</x:v>
      </x:c>
      <x:c r="Q146" s="14" t="b">
        <x:v>0</x:v>
      </x:c>
      <x:c r="R146" s="14" t="b">
        <x:v>0</x:v>
      </x:c>
      <x:c r="S146" s="14" t="b">
        <x:v>0</x:v>
      </x:c>
    </x:row>
    <x:row r="147" ht="15" hidden="0" customHeight="1">
      <x:c r="A147" s="2" t="str">
        <x:v>SG-MC-05-2025062600</x:v>
      </x:c>
      <x:c r="B147" s="2" t="str">
        <x:v>2025-06-26 00:00:00</x:v>
      </x:c>
      <x:c r="C147" s="2" t="str">
        <x:v>MC-05</x:v>
      </x:c>
      <x:c r="D147" s="2" t="str">
        <x:v>PRD-D</x:v>
      </x:c>
      <x:c r="E147" s="2" t="n">
        <x:v>60.07488051547672</x:v>
      </x:c>
      <x:c r="F147" s="2" t="n">
        <x:v>0.0398016485603065</x:v>
      </x:c>
      <x:c r="G147" s="2" t="n">
        <x:v>5</x:v>
      </x:c>
      <x:c r="H147" s="2" t="n">
        <x:v>59.9812332134637</x:v>
      </x:c>
      <x:c r="I147" s="2" t="n">
        <x:v>60.03007765222271</x:v>
      </x:c>
      <x:c r="J147" s="2" t="n">
        <x:v>60.07892209098171</x:v>
      </x:c>
      <x:c r="K147" s="2" t="n">
        <x:v>0</x:v>
      </x:c>
      <x:c r="L147" s="2" t="n">
        <x:v>0.0846524068613621</x:v>
      </x:c>
      <x:c r="M147" s="2" t="n">
        <x:v>0.1789551881049196</x:v>
      </x:c>
      <x:c r="N147" s="14" t="b">
        <x:v>0</x:v>
      </x:c>
      <x:c r="O147" s="14" t="b">
        <x:v>0</x:v>
      </x:c>
      <x:c r="P147" s="14" t="b">
        <x:v>0</x:v>
      </x:c>
      <x:c r="Q147" s="14" t="b">
        <x:v>0</x:v>
      </x:c>
      <x:c r="R147" s="14" t="b">
        <x:v>0</x:v>
      </x:c>
      <x:c r="S147" s="14" t="b">
        <x:v>0</x:v>
      </x:c>
    </x:row>
    <x:row r="148" ht="15" hidden="0" customHeight="1">
      <x:c r="A148" s="2" t="str">
        <x:v>SG-MC-08-2025062600</x:v>
      </x:c>
      <x:c r="B148" s="2" t="str">
        <x:v>2025-06-26 00:00:00</x:v>
      </x:c>
      <x:c r="C148" s="2" t="str">
        <x:v>MC-08</x:v>
      </x:c>
      <x:c r="D148" s="2" t="str">
        <x:v>PRD-C</x:v>
      </x:c>
      <x:c r="E148" s="2" t="n">
        <x:v>42.02190395263067</x:v>
      </x:c>
      <x:c r="F148" s="2" t="n">
        <x:v>0.0476930360058105</x:v>
      </x:c>
      <x:c r="G148" s="2" t="n">
        <x:v>5</x:v>
      </x:c>
      <x:c r="H148" s="2" t="n">
        <x:v>41.98128274145005</x:v>
      </x:c>
      <x:c r="I148" s="2" t="n">
        <x:v>42.03038150785648</x:v>
      </x:c>
      <x:c r="J148" s="2" t="n">
        <x:v>42.0794802742629</x:v>
      </x:c>
      <x:c r="K148" s="2" t="n">
        <x:v>0</x:v>
      </x:c>
      <x:c r="L148" s="2" t="n">
        <x:v>0.0850931826801104</x:v>
      </x:c>
      <x:c r="M148" s="2" t="n">
        <x:v>0.1798869881857533</x:v>
      </x:c>
      <x:c r="N148" s="14" t="b">
        <x:v>0</x:v>
      </x:c>
      <x:c r="O148" s="14" t="b">
        <x:v>0</x:v>
      </x:c>
      <x:c r="P148" s="14" t="b">
        <x:v>0</x:v>
      </x:c>
      <x:c r="Q148" s="14" t="b">
        <x:v>0</x:v>
      </x:c>
      <x:c r="R148" s="14" t="b">
        <x:v>0</x:v>
      </x:c>
      <x:c r="S148" s="14" t="b">
        <x:v>0</x:v>
      </x:c>
    </x:row>
    <x:row r="149" ht="15" hidden="0" customHeight="1">
      <x:c r="A149" s="2" t="str">
        <x:v>SG-MC-12-2025062600</x:v>
      </x:c>
      <x:c r="B149" s="2" t="str">
        <x:v>2025-06-26 00:00:00</x:v>
      </x:c>
      <x:c r="C149" s="2" t="str">
        <x:v>MC-12</x:v>
      </x:c>
      <x:c r="D149" s="2" t="str">
        <x:v>PRD-C</x:v>
      </x:c>
      <x:c r="E149" s="2" t="n">
        <x:v>42.05919686741437</x:v>
      </x:c>
      <x:c r="F149" s="2" t="n">
        <x:v>0.0910782550102382</x:v>
      </x:c>
      <x:c r="G149" s="2" t="n">
        <x:v>5</x:v>
      </x:c>
      <x:c r="H149" s="2" t="n">
        <x:v>41.98128274145005</x:v>
      </x:c>
      <x:c r="I149" s="2" t="n">
        <x:v>42.03038150785648</x:v>
      </x:c>
      <x:c r="J149" s="2" t="n">
        <x:v>42.0794802742629</x:v>
      </x:c>
      <x:c r="K149" s="2" t="n">
        <x:v>0</x:v>
      </x:c>
      <x:c r="L149" s="2" t="n">
        <x:v>0.0850931826801104</x:v>
      </x:c>
      <x:c r="M149" s="2" t="n">
        <x:v>0.1798869881857533</x:v>
      </x:c>
      <x:c r="N149" s="14" t="b">
        <x:v>0</x:v>
      </x:c>
      <x:c r="O149" s="14" t="b">
        <x:v>0</x:v>
      </x:c>
      <x:c r="P149" s="14" t="b">
        <x:v>0</x:v>
      </x:c>
      <x:c r="Q149" s="14" t="b">
        <x:v>0</x:v>
      </x:c>
      <x:c r="R149" s="14" t="b">
        <x:v>0</x:v>
      </x:c>
      <x:c r="S149" s="14" t="b">
        <x:v>0</x:v>
      </x:c>
    </x:row>
    <x:row r="150" ht="15" hidden="0" customHeight="1">
      <x:c r="A150" s="2" t="str">
        <x:v>SG-MC-04-2025062600</x:v>
      </x:c>
      <x:c r="B150" s="2" t="str">
        <x:v>2025-06-26 00:00:00</x:v>
      </x:c>
      <x:c r="C150" s="2" t="str">
        <x:v>MC-04</x:v>
      </x:c>
      <x:c r="D150" s="2" t="str">
        <x:v>PRD-C</x:v>
      </x:c>
      <x:c r="E150" s="2" t="n">
        <x:v>42.05098307200198</x:v>
      </x:c>
      <x:c r="F150" s="2" t="n">
        <x:v>0.1021711198229979</x:v>
      </x:c>
      <x:c r="G150" s="2" t="n">
        <x:v>5</x:v>
      </x:c>
      <x:c r="H150" s="2" t="n">
        <x:v>41.98128274145005</x:v>
      </x:c>
      <x:c r="I150" s="2" t="n">
        <x:v>42.03038150785648</x:v>
      </x:c>
      <x:c r="J150" s="2" t="n">
        <x:v>42.0794802742629</x:v>
      </x:c>
      <x:c r="K150" s="2" t="n">
        <x:v>0</x:v>
      </x:c>
      <x:c r="L150" s="2" t="n">
        <x:v>0.0850931826801104</x:v>
      </x:c>
      <x:c r="M150" s="2" t="n">
        <x:v>0.1798869881857533</x:v>
      </x:c>
      <x:c r="N150" s="14" t="b">
        <x:v>0</x:v>
      </x:c>
      <x:c r="O150" s="14" t="b">
        <x:v>0</x:v>
      </x:c>
      <x:c r="P150" s="14" t="b">
        <x:v>0</x:v>
      </x:c>
      <x:c r="Q150" s="14" t="b">
        <x:v>0</x:v>
      </x:c>
      <x:c r="R150" s="14" t="b">
        <x:v>0</x:v>
      </x:c>
      <x:c r="S150" s="14" t="b">
        <x:v>0</x:v>
      </x:c>
    </x:row>
    <x:row r="151" ht="15" hidden="0" customHeight="1">
      <x:c r="A151" s="2" t="str">
        <x:v>SG-MC-06-2025062600</x:v>
      </x:c>
      <x:c r="B151" s="2" t="str">
        <x:v>2025-06-26 00:00:00</x:v>
      </x:c>
      <x:c r="C151" s="2" t="str">
        <x:v>MC-06</x:v>
      </x:c>
      <x:c r="D151" s="2" t="str">
        <x:v>PRD-A</x:v>
      </x:c>
      <x:c r="E151" s="2" t="n">
        <x:v>25.01959343320791</x:v>
      </x:c>
      <x:c r="F151" s="2" t="n">
        <x:v>0.0792879337235987</x:v>
      </x:c>
      <x:c r="G151" s="2" t="n">
        <x:v>5</x:v>
      </x:c>
      <x:c r="H151" s="2" t="n">
        <x:v>24.98096531359448</x:v>
      </x:c>
      <x:c r="I151" s="2" t="n">
        <x:v>25.029746559290437</x:v>
      </x:c>
      <x:c r="J151" s="2" t="n">
        <x:v>25.07852780498639</x:v>
      </x:c>
      <x:c r="K151" s="2" t="n">
        <x:v>0</x:v>
      </x:c>
      <x:c r="L151" s="2" t="n">
        <x:v>0.0845428868214142</x:v>
      </x:c>
      <x:c r="M151" s="2" t="n">
        <x:v>0.1787236627404697</x:v>
      </x:c>
      <x:c r="N151" s="14" t="b">
        <x:v>0</x:v>
      </x:c>
      <x:c r="O151" s="14" t="b">
        <x:v>0</x:v>
      </x:c>
      <x:c r="P151" s="14" t="b">
        <x:v>0</x:v>
      </x:c>
      <x:c r="Q151" s="14" t="b">
        <x:v>0</x:v>
      </x:c>
      <x:c r="R151" s="14" t="b">
        <x:v>0</x:v>
      </x:c>
      <x:c r="S151" s="14" t="b">
        <x:v>0</x:v>
      </x:c>
    </x:row>
    <x:row r="152" ht="15" hidden="0" customHeight="1">
      <x:c r="A152" s="2" t="str">
        <x:v>SG-MC-02-2025062600</x:v>
      </x:c>
      <x:c r="B152" s="2" t="str">
        <x:v>2025-06-26 00:00:00</x:v>
      </x:c>
      <x:c r="C152" s="2" t="str">
        <x:v>MC-02</x:v>
      </x:c>
      <x:c r="D152" s="2" t="str">
        <x:v>PRD-A</x:v>
      </x:c>
      <x:c r="E152" s="2" t="n">
        <x:v>25.014094215272912</x:v>
      </x:c>
      <x:c r="F152" s="2" t="n">
        <x:v>0.1304566704599636</x:v>
      </x:c>
      <x:c r="G152" s="2" t="n">
        <x:v>5</x:v>
      </x:c>
      <x:c r="H152" s="2" t="n">
        <x:v>24.98096531359448</x:v>
      </x:c>
      <x:c r="I152" s="2" t="n">
        <x:v>25.029746559290437</x:v>
      </x:c>
      <x:c r="J152" s="2" t="n">
        <x:v>25.07852780498639</x:v>
      </x:c>
      <x:c r="K152" s="2" t="n">
        <x:v>0</x:v>
      </x:c>
      <x:c r="L152" s="2" t="n">
        <x:v>0.0845428868214142</x:v>
      </x:c>
      <x:c r="M152" s="2" t="n">
        <x:v>0.1787236627404697</x:v>
      </x:c>
      <x:c r="N152" s="14" t="b">
        <x:v>0</x:v>
      </x:c>
      <x:c r="O152" s="14" t="b">
        <x:v>0</x:v>
      </x:c>
      <x:c r="P152" s="14" t="b">
        <x:v>0</x:v>
      </x:c>
      <x:c r="Q152" s="14" t="b">
        <x:v>0</x:v>
      </x:c>
      <x:c r="R152" s="14" t="b">
        <x:v>0</x:v>
      </x:c>
      <x:c r="S152" s="14" t="b">
        <x:v>0</x:v>
      </x:c>
    </x:row>
    <x:row r="153" ht="15" hidden="0" customHeight="1">
      <x:c r="A153" s="2" t="str">
        <x:v>SG-MC-10-2025062600</x:v>
      </x:c>
      <x:c r="B153" s="2" t="str">
        <x:v>2025-06-26 00:00:00</x:v>
      </x:c>
      <x:c r="C153" s="2" t="str">
        <x:v>MC-10</x:v>
      </x:c>
      <x:c r="D153" s="2" t="str">
        <x:v>PRD-A</x:v>
      </x:c>
      <x:c r="E153" s="2" t="n">
        <x:v>25.07545151523373</x:v>
      </x:c>
      <x:c r="F153" s="2" t="n">
        <x:v>0.0596429222059065</x:v>
      </x:c>
      <x:c r="G153" s="2" t="n">
        <x:v>5</x:v>
      </x:c>
      <x:c r="H153" s="2" t="n">
        <x:v>24.98096531359448</x:v>
      </x:c>
      <x:c r="I153" s="2" t="n">
        <x:v>25.029746559290437</x:v>
      </x:c>
      <x:c r="J153" s="2" t="n">
        <x:v>25.07852780498639</x:v>
      </x:c>
      <x:c r="K153" s="2" t="n">
        <x:v>0</x:v>
      </x:c>
      <x:c r="L153" s="2" t="n">
        <x:v>0.0845428868214142</x:v>
      </x:c>
      <x:c r="M153" s="2" t="n">
        <x:v>0.1787236627404697</x:v>
      </x:c>
      <x:c r="N153" s="14" t="b">
        <x:v>0</x:v>
      </x:c>
      <x:c r="O153" s="14" t="b">
        <x:v>0</x:v>
      </x:c>
      <x:c r="P153" s="14" t="b">
        <x:v>0</x:v>
      </x:c>
      <x:c r="Q153" s="14" t="b">
        <x:v>0</x:v>
      </x:c>
      <x:c r="R153" s="14" t="b">
        <x:v>0</x:v>
      </x:c>
      <x:c r="S153" s="14" t="b">
        <x:v>0</x:v>
      </x:c>
    </x:row>
    <x:row r="154" ht="15" hidden="0" customHeight="1">
      <x:c r="A154" s="2" t="str">
        <x:v>SG-MC-01-2025062608</x:v>
      </x:c>
      <x:c r="B154" s="2" t="str">
        <x:v>2025-06-26 08:00:00</x:v>
      </x:c>
      <x:c r="C154" s="2" t="str">
        <x:v>MC-01</x:v>
      </x:c>
      <x:c r="D154" s="2" t="str">
        <x:v>PRD-D</x:v>
      </x:c>
      <x:c r="E154" s="2" t="n">
        <x:v>60.03057788142464</x:v>
      </x:c>
      <x:c r="F154" s="2" t="n">
        <x:v>0.097385201134621</x:v>
      </x:c>
      <x:c r="G154" s="2" t="n">
        <x:v>5</x:v>
      </x:c>
      <x:c r="H154" s="2" t="n">
        <x:v>59.9812332134637</x:v>
      </x:c>
      <x:c r="I154" s="2" t="n">
        <x:v>60.03007765222271</x:v>
      </x:c>
      <x:c r="J154" s="2" t="n">
        <x:v>60.07892209098171</x:v>
      </x:c>
      <x:c r="K154" s="2" t="n">
        <x:v>0</x:v>
      </x:c>
      <x:c r="L154" s="2" t="n">
        <x:v>0.0846524068613621</x:v>
      </x:c>
      <x:c r="M154" s="2" t="n">
        <x:v>0.1789551881049196</x:v>
      </x:c>
      <x:c r="N154" s="14" t="b">
        <x:v>0</x:v>
      </x:c>
      <x:c r="O154" s="14" t="b">
        <x:v>0</x:v>
      </x:c>
      <x:c r="P154" s="14" t="b">
        <x:v>0</x:v>
      </x:c>
      <x:c r="Q154" s="14" t="b">
        <x:v>0</x:v>
      </x:c>
      <x:c r="R154" s="14" t="b">
        <x:v>0</x:v>
      </x:c>
      <x:c r="S154" s="14" t="b">
        <x:v>0</x:v>
      </x:c>
    </x:row>
    <x:row r="155" ht="15" hidden="0" customHeight="1">
      <x:c r="A155" s="2" t="str">
        <x:v>SG-MC-09-2025062608</x:v>
      </x:c>
      <x:c r="B155" s="2" t="str">
        <x:v>2025-06-26 08:00:00</x:v>
      </x:c>
      <x:c r="C155" s="2" t="str">
        <x:v>MC-09</x:v>
      </x:c>
      <x:c r="D155" s="2" t="str">
        <x:v>PRD-D</x:v>
      </x:c>
      <x:c r="E155" s="2" t="n">
        <x:v>60.03526453507613</x:v>
      </x:c>
      <x:c r="F155" s="2" t="n">
        <x:v>0.105089905404391</x:v>
      </x:c>
      <x:c r="G155" s="2" t="n">
        <x:v>5</x:v>
      </x:c>
      <x:c r="H155" s="2" t="n">
        <x:v>59.9812332134637</x:v>
      </x:c>
      <x:c r="I155" s="2" t="n">
        <x:v>60.03007765222271</x:v>
      </x:c>
      <x:c r="J155" s="2" t="n">
        <x:v>60.07892209098171</x:v>
      </x:c>
      <x:c r="K155" s="2" t="n">
        <x:v>0</x:v>
      </x:c>
      <x:c r="L155" s="2" t="n">
        <x:v>0.0846524068613621</x:v>
      </x:c>
      <x:c r="M155" s="2" t="n">
        <x:v>0.1789551881049196</x:v>
      </x:c>
      <x:c r="N155" s="14" t="b">
        <x:v>0</x:v>
      </x:c>
      <x:c r="O155" s="14" t="b">
        <x:v>0</x:v>
      </x:c>
      <x:c r="P155" s="14" t="b">
        <x:v>0</x:v>
      </x:c>
      <x:c r="Q155" s="14" t="b">
        <x:v>0</x:v>
      </x:c>
      <x:c r="R155" s="14" t="b">
        <x:v>0</x:v>
      </x:c>
      <x:c r="S155" s="14" t="b">
        <x:v>0</x:v>
      </x:c>
    </x:row>
    <x:row r="156" ht="15" hidden="0" customHeight="1">
      <x:c r="A156" s="2" t="str">
        <x:v>SG-MC-11-2025062608</x:v>
      </x:c>
      <x:c r="B156" s="2" t="str">
        <x:v>2025-06-26 08:00:00</x:v>
      </x:c>
      <x:c r="C156" s="2" t="str">
        <x:v>MC-11</x:v>
      </x:c>
      <x:c r="D156" s="2" t="str">
        <x:v>PRD-B</x:v>
      </x:c>
      <x:c r="E156" s="2" t="n">
        <x:v>79.97118227425078</x:v>
      </x:c>
      <x:c r="F156" s="2" t="n">
        <x:v>0.100677157718934</x:v>
      </x:c>
      <x:c r="G156" s="2" t="n">
        <x:v>5</x:v>
      </x:c>
      <x:c r="H156" s="2" t="n">
        <x:v>79.98133298727322</x:v>
      </x:c>
      <x:c r="I156" s="2" t="n">
        <x:v>80.02998001088412</x:v>
      </x:c>
      <x:c r="J156" s="2" t="n">
        <x:v>80.07862703449501</x:v>
      </x:c>
      <x:c r="K156" s="2" t="n">
        <x:v>0</x:v>
      </x:c>
      <x:c r="L156" s="2" t="n">
        <x:v>0.0843102662233807</x:v>
      </x:c>
      <x:c r="M156" s="2" t="n">
        <x:v>0.1782319027962268</x:v>
      </x:c>
      <x:c r="N156" s="14" t="b">
        <x:v>1</x:v>
      </x:c>
      <x:c r="O156" s="14" t="b">
        <x:v>1</x:v>
      </x:c>
      <x:c r="P156" s="14" t="b">
        <x:v>0</x:v>
      </x:c>
      <x:c r="Q156" s="14" t="b">
        <x:v>0</x:v>
      </x:c>
      <x:c r="R156" s="14" t="b">
        <x:v>1</x:v>
      </x:c>
      <x:c r="S156" s="14" t="b">
        <x:v>0</x:v>
      </x:c>
    </x:row>
    <x:row r="157" ht="15" hidden="0" customHeight="1">
      <x:c r="A157" s="2" t="str">
        <x:v>SG-MC-02-2025062608</x:v>
      </x:c>
      <x:c r="B157" s="2" t="str">
        <x:v>2025-06-26 08:00:00</x:v>
      </x:c>
      <x:c r="C157" s="2" t="str">
        <x:v>MC-02</x:v>
      </x:c>
      <x:c r="D157" s="2" t="str">
        <x:v>PRD-A</x:v>
      </x:c>
      <x:c r="E157" s="2" t="n">
        <x:v>25.0587338230169</x:v>
      </x:c>
      <x:c r="F157" s="2" t="n">
        <x:v>0.1090734381655593</x:v>
      </x:c>
      <x:c r="G157" s="2" t="n">
        <x:v>5</x:v>
      </x:c>
      <x:c r="H157" s="2" t="n">
        <x:v>24.98096531359448</x:v>
      </x:c>
      <x:c r="I157" s="2" t="n">
        <x:v>25.029746559290437</x:v>
      </x:c>
      <x:c r="J157" s="2" t="n">
        <x:v>25.07852780498639</x:v>
      </x:c>
      <x:c r="K157" s="2" t="n">
        <x:v>0</x:v>
      </x:c>
      <x:c r="L157" s="2" t="n">
        <x:v>0.0845428868214142</x:v>
      </x:c>
      <x:c r="M157" s="2" t="n">
        <x:v>0.1787236627404697</x:v>
      </x:c>
      <x:c r="N157" s="14" t="b">
        <x:v>0</x:v>
      </x:c>
      <x:c r="O157" s="14" t="b">
        <x:v>0</x:v>
      </x:c>
      <x:c r="P157" s="14" t="b">
        <x:v>0</x:v>
      </x:c>
      <x:c r="Q157" s="14" t="b">
        <x:v>0</x:v>
      </x:c>
      <x:c r="R157" s="14" t="b">
        <x:v>0</x:v>
      </x:c>
      <x:c r="S157" s="14" t="b">
        <x:v>0</x:v>
      </x:c>
    </x:row>
    <x:row r="158" ht="15" hidden="0" customHeight="1">
      <x:c r="A158" s="2" t="str">
        <x:v>SG-MC-06-2025062608</x:v>
      </x:c>
      <x:c r="B158" s="2" t="str">
        <x:v>2025-06-26 08:00:00</x:v>
      </x:c>
      <x:c r="C158" s="2" t="str">
        <x:v>MC-06</x:v>
      </x:c>
      <x:c r="D158" s="2" t="str">
        <x:v>PRD-A</x:v>
      </x:c>
      <x:c r="E158" s="2" t="n">
        <x:v>25.01149166541783</x:v>
      </x:c>
      <x:c r="F158" s="2" t="n">
        <x:v>0.1290299727587545</x:v>
      </x:c>
      <x:c r="G158" s="2" t="n">
        <x:v>5</x:v>
      </x:c>
      <x:c r="H158" s="2" t="n">
        <x:v>24.98096531359448</x:v>
      </x:c>
      <x:c r="I158" s="2" t="n">
        <x:v>25.029746559290437</x:v>
      </x:c>
      <x:c r="J158" s="2" t="n">
        <x:v>25.07852780498639</x:v>
      </x:c>
      <x:c r="K158" s="2" t="n">
        <x:v>0</x:v>
      </x:c>
      <x:c r="L158" s="2" t="n">
        <x:v>0.0845428868214142</x:v>
      </x:c>
      <x:c r="M158" s="2" t="n">
        <x:v>0.1787236627404697</x:v>
      </x:c>
      <x:c r="N158" s="14" t="b">
        <x:v>0</x:v>
      </x:c>
      <x:c r="O158" s="14" t="b">
        <x:v>0</x:v>
      </x:c>
      <x:c r="P158" s="14" t="b">
        <x:v>0</x:v>
      </x:c>
      <x:c r="Q158" s="14" t="b">
        <x:v>0</x:v>
      </x:c>
      <x:c r="R158" s="14" t="b">
        <x:v>0</x:v>
      </x:c>
      <x:c r="S158" s="14" t="b">
        <x:v>0</x:v>
      </x:c>
    </x:row>
    <x:row r="159" ht="15" hidden="0" customHeight="1">
      <x:c r="A159" s="2" t="str">
        <x:v>SG-MC-10-2025062608</x:v>
      </x:c>
      <x:c r="B159" s="2" t="str">
        <x:v>2025-06-26 08:00:00</x:v>
      </x:c>
      <x:c r="C159" s="2" t="str">
        <x:v>MC-10</x:v>
      </x:c>
      <x:c r="D159" s="2" t="str">
        <x:v>PRD-A</x:v>
      </x:c>
      <x:c r="E159" s="2" t="n">
        <x:v>25.037861966258244</x:v>
      </x:c>
      <x:c r="F159" s="2" t="n">
        <x:v>0.0429157415809022</x:v>
      </x:c>
      <x:c r="G159" s="2" t="n">
        <x:v>5</x:v>
      </x:c>
      <x:c r="H159" s="2" t="n">
        <x:v>24.98096531359448</x:v>
      </x:c>
      <x:c r="I159" s="2" t="n">
        <x:v>25.029746559290437</x:v>
      </x:c>
      <x:c r="J159" s="2" t="n">
        <x:v>25.07852780498639</x:v>
      </x:c>
      <x:c r="K159" s="2" t="n">
        <x:v>0</x:v>
      </x:c>
      <x:c r="L159" s="2" t="n">
        <x:v>0.0845428868214142</x:v>
      </x:c>
      <x:c r="M159" s="2" t="n">
        <x:v>0.1787236627404697</x:v>
      </x:c>
      <x:c r="N159" s="14" t="b">
        <x:v>0</x:v>
      </x:c>
      <x:c r="O159" s="14" t="b">
        <x:v>0</x:v>
      </x:c>
      <x:c r="P159" s="14" t="b">
        <x:v>0</x:v>
      </x:c>
      <x:c r="Q159" s="14" t="b">
        <x:v>0</x:v>
      </x:c>
      <x:c r="R159" s="14" t="b">
        <x:v>0</x:v>
      </x:c>
      <x:c r="S159" s="14" t="b">
        <x:v>0</x:v>
      </x:c>
    </x:row>
    <x:row r="160" ht="15" hidden="0" customHeight="1">
      <x:c r="A160" s="2" t="str">
        <x:v>SG-MC-08-2025062608</x:v>
      </x:c>
      <x:c r="B160" s="2" t="str">
        <x:v>2025-06-26 08:00:00</x:v>
      </x:c>
      <x:c r="C160" s="2" t="str">
        <x:v>MC-08</x:v>
      </x:c>
      <x:c r="D160" s="2" t="str">
        <x:v>PRD-C</x:v>
      </x:c>
      <x:c r="E160" s="2" t="n">
        <x:v>42.06462165458529</x:v>
      </x:c>
      <x:c r="F160" s="2" t="n">
        <x:v>0.0891536879882295</x:v>
      </x:c>
      <x:c r="G160" s="2" t="n">
        <x:v>5</x:v>
      </x:c>
      <x:c r="H160" s="2" t="n">
        <x:v>41.98128274145005</x:v>
      </x:c>
      <x:c r="I160" s="2" t="n">
        <x:v>42.03038150785648</x:v>
      </x:c>
      <x:c r="J160" s="2" t="n">
        <x:v>42.0794802742629</x:v>
      </x:c>
      <x:c r="K160" s="2" t="n">
        <x:v>0</x:v>
      </x:c>
      <x:c r="L160" s="2" t="n">
        <x:v>0.0850931826801104</x:v>
      </x:c>
      <x:c r="M160" s="2" t="n">
        <x:v>0.1798869881857533</x:v>
      </x:c>
      <x:c r="N160" s="14" t="b">
        <x:v>0</x:v>
      </x:c>
      <x:c r="O160" s="14" t="b">
        <x:v>0</x:v>
      </x:c>
      <x:c r="P160" s="14" t="b">
        <x:v>1</x:v>
      </x:c>
      <x:c r="Q160" s="14" t="b">
        <x:v>0</x:v>
      </x:c>
      <x:c r="R160" s="14" t="b">
        <x:v>1</x:v>
      </x:c>
      <x:c r="S160" s="14" t="b">
        <x:v>0</x:v>
      </x:c>
    </x:row>
    <x:row r="161" ht="15" hidden="0" customHeight="1">
      <x:c r="A161" s="2" t="str">
        <x:v>SG-MC-04-2025062608</x:v>
      </x:c>
      <x:c r="B161" s="2" t="str">
        <x:v>2025-06-26 08:00:00</x:v>
      </x:c>
      <x:c r="C161" s="2" t="str">
        <x:v>MC-04</x:v>
      </x:c>
      <x:c r="D161" s="2" t="str">
        <x:v>PRD-C</x:v>
      </x:c>
      <x:c r="E161" s="2" t="n">
        <x:v>42.02631323183259</x:v>
      </x:c>
      <x:c r="F161" s="2" t="n">
        <x:v>0.0958148515625296</x:v>
      </x:c>
      <x:c r="G161" s="2" t="n">
        <x:v>5</x:v>
      </x:c>
      <x:c r="H161" s="2" t="n">
        <x:v>41.98128274145005</x:v>
      </x:c>
      <x:c r="I161" s="2" t="n">
        <x:v>42.03038150785648</x:v>
      </x:c>
      <x:c r="J161" s="2" t="n">
        <x:v>42.0794802742629</x:v>
      </x:c>
      <x:c r="K161" s="2" t="n">
        <x:v>0</x:v>
      </x:c>
      <x:c r="L161" s="2" t="n">
        <x:v>0.0850931826801104</x:v>
      </x:c>
      <x:c r="M161" s="2" t="n">
        <x:v>0.1798869881857533</x:v>
      </x:c>
      <x:c r="N161" s="14" t="b">
        <x:v>0</x:v>
      </x:c>
      <x:c r="O161" s="14" t="b">
        <x:v>0</x:v>
      </x:c>
      <x:c r="P161" s="14" t="b">
        <x:v>0</x:v>
      </x:c>
      <x:c r="Q161" s="14" t="b">
        <x:v>0</x:v>
      </x:c>
      <x:c r="R161" s="14" t="b">
        <x:v>0</x:v>
      </x:c>
      <x:c r="S161" s="14" t="b">
        <x:v>0</x:v>
      </x:c>
    </x:row>
    <x:row r="162" ht="15" hidden="0" customHeight="1">
      <x:c r="A162" s="2" t="str">
        <x:v>SG-MC-03-2025062608</x:v>
      </x:c>
      <x:c r="B162" s="2" t="str">
        <x:v>2025-06-26 08:00:00</x:v>
      </x:c>
      <x:c r="C162" s="2" t="str">
        <x:v>MC-03</x:v>
      </x:c>
      <x:c r="D162" s="2" t="str">
        <x:v>PRD-B</x:v>
      </x:c>
      <x:c r="E162" s="2" t="n">
        <x:v>80.0124510373311</x:v>
      </x:c>
      <x:c r="F162" s="2" t="n">
        <x:v>0.0677244986867151</x:v>
      </x:c>
      <x:c r="G162" s="2" t="n">
        <x:v>5</x:v>
      </x:c>
      <x:c r="H162" s="2" t="n">
        <x:v>79.98133298727322</x:v>
      </x:c>
      <x:c r="I162" s="2" t="n">
        <x:v>80.02998001088412</x:v>
      </x:c>
      <x:c r="J162" s="2" t="n">
        <x:v>80.07862703449501</x:v>
      </x:c>
      <x:c r="K162" s="2" t="n">
        <x:v>0</x:v>
      </x:c>
      <x:c r="L162" s="2" t="n">
        <x:v>0.0843102662233807</x:v>
      </x:c>
      <x:c r="M162" s="2" t="n">
        <x:v>0.1782319027962268</x:v>
      </x:c>
      <x:c r="N162" s="14" t="b">
        <x:v>0</x:v>
      </x:c>
      <x:c r="O162" s="14" t="b">
        <x:v>0</x:v>
      </x:c>
      <x:c r="P162" s="14" t="b">
        <x:v>0</x:v>
      </x:c>
      <x:c r="Q162" s="14" t="b">
        <x:v>0</x:v>
      </x:c>
      <x:c r="R162" s="14" t="b">
        <x:v>0</x:v>
      </x:c>
      <x:c r="S162" s="14" t="b">
        <x:v>0</x:v>
      </x:c>
    </x:row>
    <x:row r="163" ht="15" hidden="0" customHeight="1">
      <x:c r="A163" s="2" t="str">
        <x:v>SG-MC-07-2025062608</x:v>
      </x:c>
      <x:c r="B163" s="2" t="str">
        <x:v>2025-06-26 08:00:00</x:v>
      </x:c>
      <x:c r="C163" s="2" t="str">
        <x:v>MC-07</x:v>
      </x:c>
      <x:c r="D163" s="2" t="str">
        <x:v>PRD-B</x:v>
      </x:c>
      <x:c r="E163" s="2" t="n">
        <x:v>79.98898657698817</x:v>
      </x:c>
      <x:c r="F163" s="2" t="n">
        <x:v>0.1114406663941878</x:v>
      </x:c>
      <x:c r="G163" s="2" t="n">
        <x:v>5</x:v>
      </x:c>
      <x:c r="H163" s="2" t="n">
        <x:v>79.98133298727322</x:v>
      </x:c>
      <x:c r="I163" s="2" t="n">
        <x:v>80.02998001088412</x:v>
      </x:c>
      <x:c r="J163" s="2" t="n">
        <x:v>80.07862703449501</x:v>
      </x:c>
      <x:c r="K163" s="2" t="n">
        <x:v>0</x:v>
      </x:c>
      <x:c r="L163" s="2" t="n">
        <x:v>0.0843102662233807</x:v>
      </x:c>
      <x:c r="M163" s="2" t="n">
        <x:v>0.1782319027962268</x:v>
      </x:c>
      <x:c r="N163" s="14" t="b">
        <x:v>0</x:v>
      </x:c>
      <x:c r="O163" s="14" t="b">
        <x:v>1</x:v>
      </x:c>
      <x:c r="P163" s="14" t="b">
        <x:v>1</x:v>
      </x:c>
      <x:c r="Q163" s="14" t="b">
        <x:v>0</x:v>
      </x:c>
      <x:c r="R163" s="14" t="b">
        <x:v>1</x:v>
      </x:c>
      <x:c r="S163" s="14" t="b">
        <x:v>0</x:v>
      </x:c>
    </x:row>
    <x:row r="164" ht="15" hidden="0" customHeight="1">
      <x:c r="A164" s="2" t="str">
        <x:v>SG-MC-12-2025062608</x:v>
      </x:c>
      <x:c r="B164" s="2" t="str">
        <x:v>2025-06-26 08:00:00</x:v>
      </x:c>
      <x:c r="C164" s="2" t="str">
        <x:v>MC-12</x:v>
      </x:c>
      <x:c r="D164" s="2" t="str">
        <x:v>PRD-C</x:v>
      </x:c>
      <x:c r="E164" s="2" t="n">
        <x:v>42.03108054686341</x:v>
      </x:c>
      <x:c r="F164" s="2" t="n">
        <x:v>0.0883835085497821</x:v>
      </x:c>
      <x:c r="G164" s="2" t="n">
        <x:v>5</x:v>
      </x:c>
      <x:c r="H164" s="2" t="n">
        <x:v>41.98128274145005</x:v>
      </x:c>
      <x:c r="I164" s="2" t="n">
        <x:v>42.03038150785648</x:v>
      </x:c>
      <x:c r="J164" s="2" t="n">
        <x:v>42.0794802742629</x:v>
      </x:c>
      <x:c r="K164" s="2" t="n">
        <x:v>0</x:v>
      </x:c>
      <x:c r="L164" s="2" t="n">
        <x:v>0.0850931826801104</x:v>
      </x:c>
      <x:c r="M164" s="2" t="n">
        <x:v>0.1798869881857533</x:v>
      </x:c>
      <x:c r="N164" s="14" t="b">
        <x:v>0</x:v>
      </x:c>
      <x:c r="O164" s="14" t="b">
        <x:v>0</x:v>
      </x:c>
      <x:c r="P164" s="14" t="b">
        <x:v>0</x:v>
      </x:c>
      <x:c r="Q164" s="14" t="b">
        <x:v>0</x:v>
      </x:c>
      <x:c r="R164" s="14" t="b">
        <x:v>0</x:v>
      </x:c>
      <x:c r="S164" s="14" t="b">
        <x:v>0</x:v>
      </x:c>
    </x:row>
    <x:row r="165" ht="15" hidden="0" customHeight="1">
      <x:c r="A165" s="2" t="str">
        <x:v>SG-MC-05-2025062608</x:v>
      </x:c>
      <x:c r="B165" s="2" t="str">
        <x:v>2025-06-26 08:00:00</x:v>
      </x:c>
      <x:c r="C165" s="2" t="str">
        <x:v>MC-05</x:v>
      </x:c>
      <x:c r="D165" s="2" t="str">
        <x:v>PRD-D</x:v>
      </x:c>
      <x:c r="E165" s="2" t="n">
        <x:v>60.0389000042382</x:v>
      </x:c>
      <x:c r="F165" s="2" t="n">
        <x:v>0.1724553429188091</x:v>
      </x:c>
      <x:c r="G165" s="2" t="n">
        <x:v>5</x:v>
      </x:c>
      <x:c r="H165" s="2" t="n">
        <x:v>59.9812332134637</x:v>
      </x:c>
      <x:c r="I165" s="2" t="n">
        <x:v>60.03007765222271</x:v>
      </x:c>
      <x:c r="J165" s="2" t="n">
        <x:v>60.07892209098171</x:v>
      </x:c>
      <x:c r="K165" s="2" t="n">
        <x:v>0</x:v>
      </x:c>
      <x:c r="L165" s="2" t="n">
        <x:v>0.0846524068613621</x:v>
      </x:c>
      <x:c r="M165" s="2" t="n">
        <x:v>0.1789551881049196</x:v>
      </x:c>
      <x:c r="N165" s="14" t="b">
        <x:v>0</x:v>
      </x:c>
      <x:c r="O165" s="14" t="b">
        <x:v>0</x:v>
      </x:c>
      <x:c r="P165" s="14" t="b">
        <x:v>0</x:v>
      </x:c>
      <x:c r="Q165" s="14" t="b">
        <x:v>0</x:v>
      </x:c>
      <x:c r="R165" s="14" t="b">
        <x:v>0</x:v>
      </x:c>
      <x:c r="S165" s="14" t="b">
        <x:v>0</x:v>
      </x:c>
    </x:row>
    <x:row r="166" ht="15" hidden="0" customHeight="1">
      <x:c r="A166" s="2" t="str">
        <x:v>SG-MC-11-2025062616</x:v>
      </x:c>
      <x:c r="B166" s="2" t="str">
        <x:v>2025-06-26 16:00:00</x:v>
      </x:c>
      <x:c r="C166" s="2" t="str">
        <x:v>MC-11</x:v>
      </x:c>
      <x:c r="D166" s="2" t="str">
        <x:v>PRD-B</x:v>
      </x:c>
      <x:c r="E166" s="2" t="n">
        <x:v>79.99127796787722</x:v>
      </x:c>
      <x:c r="F166" s="2" t="n">
        <x:v>0.1239572334769718</x:v>
      </x:c>
      <x:c r="G166" s="2" t="n">
        <x:v>5</x:v>
      </x:c>
      <x:c r="H166" s="2" t="n">
        <x:v>79.98133298727322</x:v>
      </x:c>
      <x:c r="I166" s="2" t="n">
        <x:v>80.02998001088412</x:v>
      </x:c>
      <x:c r="J166" s="2" t="n">
        <x:v>80.07862703449501</x:v>
      </x:c>
      <x:c r="K166" s="2" t="n">
        <x:v>0</x:v>
      </x:c>
      <x:c r="L166" s="2" t="n">
        <x:v>0.0843102662233807</x:v>
      </x:c>
      <x:c r="M166" s="2" t="n">
        <x:v>0.1782319027962268</x:v>
      </x:c>
      <x:c r="N166" s="14" t="b">
        <x:v>0</x:v>
      </x:c>
      <x:c r="O166" s="14" t="b">
        <x:v>1</x:v>
      </x:c>
      <x:c r="P166" s="14" t="b">
        <x:v>1</x:v>
      </x:c>
      <x:c r="Q166" s="14" t="b">
        <x:v>0</x:v>
      </x:c>
      <x:c r="R166" s="14" t="b">
        <x:v>1</x:v>
      </x:c>
      <x:c r="S166" s="14" t="b">
        <x:v>0</x:v>
      </x:c>
    </x:row>
    <x:row r="167" ht="15" hidden="0" customHeight="1">
      <x:c r="A167" s="2" t="str">
        <x:v>SG-MC-06-2025062616</x:v>
      </x:c>
      <x:c r="B167" s="2" t="str">
        <x:v>2025-06-26 16:00:00</x:v>
      </x:c>
      <x:c r="C167" s="2" t="str">
        <x:v>MC-06</x:v>
      </x:c>
      <x:c r="D167" s="2" t="str">
        <x:v>PRD-A</x:v>
      </x:c>
      <x:c r="E167" s="2" t="n">
        <x:v>25.029667513097387</x:v>
      </x:c>
      <x:c r="F167" s="2" t="n">
        <x:v>0.0951940769014108</x:v>
      </x:c>
      <x:c r="G167" s="2" t="n">
        <x:v>5</x:v>
      </x:c>
      <x:c r="H167" s="2" t="n">
        <x:v>24.98096531359448</x:v>
      </x:c>
      <x:c r="I167" s="2" t="n">
        <x:v>25.029746559290437</x:v>
      </x:c>
      <x:c r="J167" s="2" t="n">
        <x:v>25.07852780498639</x:v>
      </x:c>
      <x:c r="K167" s="2" t="n">
        <x:v>0</x:v>
      </x:c>
      <x:c r="L167" s="2" t="n">
        <x:v>0.0845428868214142</x:v>
      </x:c>
      <x:c r="M167" s="2" t="n">
        <x:v>0.1787236627404697</x:v>
      </x:c>
      <x:c r="N167" s="14" t="b">
        <x:v>0</x:v>
      </x:c>
      <x:c r="O167" s="14" t="b">
        <x:v>0</x:v>
      </x:c>
      <x:c r="P167" s="14" t="b">
        <x:v>0</x:v>
      </x:c>
      <x:c r="Q167" s="14" t="b">
        <x:v>0</x:v>
      </x:c>
      <x:c r="R167" s="14" t="b">
        <x:v>0</x:v>
      </x:c>
      <x:c r="S167" s="14" t="b">
        <x:v>0</x:v>
      </x:c>
    </x:row>
    <x:row r="168" ht="15" hidden="0" customHeight="1">
      <x:c r="A168" s="2" t="str">
        <x:v>SG-MC-03-2025062616</x:v>
      </x:c>
      <x:c r="B168" s="2" t="str">
        <x:v>2025-06-26 16:00:00</x:v>
      </x:c>
      <x:c r="C168" s="2" t="str">
        <x:v>MC-03</x:v>
      </x:c>
      <x:c r="D168" s="2" t="str">
        <x:v>PRD-B</x:v>
      </x:c>
      <x:c r="E168" s="2" t="n">
        <x:v>80.02499519834839</x:v>
      </x:c>
      <x:c r="F168" s="2" t="n">
        <x:v>0.1052558515109325</x:v>
      </x:c>
      <x:c r="G168" s="2" t="n">
        <x:v>5</x:v>
      </x:c>
      <x:c r="H168" s="2" t="n">
        <x:v>79.98133298727322</x:v>
      </x:c>
      <x:c r="I168" s="2" t="n">
        <x:v>80.02998001088412</x:v>
      </x:c>
      <x:c r="J168" s="2" t="n">
        <x:v>80.07862703449501</x:v>
      </x:c>
      <x:c r="K168" s="2" t="n">
        <x:v>0</x:v>
      </x:c>
      <x:c r="L168" s="2" t="n">
        <x:v>0.0843102662233807</x:v>
      </x:c>
      <x:c r="M168" s="2" t="n">
        <x:v>0.1782319027962268</x:v>
      </x:c>
      <x:c r="N168" s="14" t="b">
        <x:v>0</x:v>
      </x:c>
      <x:c r="O168" s="14" t="b">
        <x:v>1</x:v>
      </x:c>
      <x:c r="P168" s="14" t="b">
        <x:v>1</x:v>
      </x:c>
      <x:c r="Q168" s="14" t="b">
        <x:v>0</x:v>
      </x:c>
      <x:c r="R168" s="14" t="b">
        <x:v>1</x:v>
      </x:c>
      <x:c r="S168" s="14" t="b">
        <x:v>0</x:v>
      </x:c>
    </x:row>
    <x:row r="169" ht="15" hidden="0" customHeight="1">
      <x:c r="A169" s="2" t="str">
        <x:v>SG-MC-05-2025062616</x:v>
      </x:c>
      <x:c r="B169" s="2" t="str">
        <x:v>2025-06-26 16:00:00</x:v>
      </x:c>
      <x:c r="C169" s="2" t="str">
        <x:v>MC-05</x:v>
      </x:c>
      <x:c r="D169" s="2" t="str">
        <x:v>PRD-D</x:v>
      </x:c>
      <x:c r="E169" s="2" t="n">
        <x:v>60.07641864979125</x:v>
      </x:c>
      <x:c r="F169" s="2" t="n">
        <x:v>0.0305417135421066</x:v>
      </x:c>
      <x:c r="G169" s="2" t="n">
        <x:v>5</x:v>
      </x:c>
      <x:c r="H169" s="2" t="n">
        <x:v>59.9812332134637</x:v>
      </x:c>
      <x:c r="I169" s="2" t="n">
        <x:v>60.03007765222271</x:v>
      </x:c>
      <x:c r="J169" s="2" t="n">
        <x:v>60.07892209098171</x:v>
      </x:c>
      <x:c r="K169" s="2" t="n">
        <x:v>0</x:v>
      </x:c>
      <x:c r="L169" s="2" t="n">
        <x:v>0.0846524068613621</x:v>
      </x:c>
      <x:c r="M169" s="2" t="n">
        <x:v>0.1789551881049196</x:v>
      </x:c>
      <x:c r="N169" s="14" t="b">
        <x:v>0</x:v>
      </x:c>
      <x:c r="O169" s="14" t="b">
        <x:v>1</x:v>
      </x:c>
      <x:c r="P169" s="14" t="b">
        <x:v>0</x:v>
      </x:c>
      <x:c r="Q169" s="14" t="b">
        <x:v>0</x:v>
      </x:c>
      <x:c r="R169" s="14" t="b">
        <x:v>1</x:v>
      </x:c>
      <x:c r="S169" s="14" t="b">
        <x:v>0</x:v>
      </x:c>
    </x:row>
    <x:row r="170" ht="15" hidden="0" customHeight="1">
      <x:c r="A170" s="2" t="str">
        <x:v>SG-MC-01-2025062616</x:v>
      </x:c>
      <x:c r="B170" s="2" t="str">
        <x:v>2025-06-26 16:00:00</x:v>
      </x:c>
      <x:c r="C170" s="2" t="str">
        <x:v>MC-01</x:v>
      </x:c>
      <x:c r="D170" s="2" t="str">
        <x:v>PRD-D</x:v>
      </x:c>
      <x:c r="E170" s="2" t="n">
        <x:v>60.01442716260848</x:v>
      </x:c>
      <x:c r="F170" s="2" t="n">
        <x:v>0.0616592782575935</x:v>
      </x:c>
      <x:c r="G170" s="2" t="n">
        <x:v>5</x:v>
      </x:c>
      <x:c r="H170" s="2" t="n">
        <x:v>59.9812332134637</x:v>
      </x:c>
      <x:c r="I170" s="2" t="n">
        <x:v>60.03007765222271</x:v>
      </x:c>
      <x:c r="J170" s="2" t="n">
        <x:v>60.07892209098171</x:v>
      </x:c>
      <x:c r="K170" s="2" t="n">
        <x:v>0</x:v>
      </x:c>
      <x:c r="L170" s="2" t="n">
        <x:v>0.0846524068613621</x:v>
      </x:c>
      <x:c r="M170" s="2" t="n">
        <x:v>0.1789551881049196</x:v>
      </x:c>
      <x:c r="N170" s="14" t="b">
        <x:v>0</x:v>
      </x:c>
      <x:c r="O170" s="14" t="b">
        <x:v>0</x:v>
      </x:c>
      <x:c r="P170" s="14" t="b">
        <x:v>0</x:v>
      </x:c>
      <x:c r="Q170" s="14" t="b">
        <x:v>0</x:v>
      </x:c>
      <x:c r="R170" s="14" t="b">
        <x:v>0</x:v>
      </x:c>
      <x:c r="S170" s="14" t="b">
        <x:v>0</x:v>
      </x:c>
    </x:row>
    <x:row r="171" ht="15" hidden="0" customHeight="1">
      <x:c r="A171" s="2" t="str">
        <x:v>SG-MC-07-2025062616</x:v>
      </x:c>
      <x:c r="B171" s="2" t="str">
        <x:v>2025-06-26 16:00:00</x:v>
      </x:c>
      <x:c r="C171" s="2" t="str">
        <x:v>MC-07</x:v>
      </x:c>
      <x:c r="D171" s="2" t="str">
        <x:v>PRD-B</x:v>
      </x:c>
      <x:c r="E171" s="2" t="n">
        <x:v>80.0411015258123</x:v>
      </x:c>
      <x:c r="F171" s="2" t="n">
        <x:v>0.0844626510006492</x:v>
      </x:c>
      <x:c r="G171" s="2" t="n">
        <x:v>5</x:v>
      </x:c>
      <x:c r="H171" s="2" t="n">
        <x:v>79.98133298727322</x:v>
      </x:c>
      <x:c r="I171" s="2" t="n">
        <x:v>80.02998001088412</x:v>
      </x:c>
      <x:c r="J171" s="2" t="n">
        <x:v>80.07862703449501</x:v>
      </x:c>
      <x:c r="K171" s="2" t="n">
        <x:v>0</x:v>
      </x:c>
      <x:c r="L171" s="2" t="n">
        <x:v>0.0843102662233807</x:v>
      </x:c>
      <x:c r="M171" s="2" t="n">
        <x:v>0.1782319027962268</x:v>
      </x:c>
      <x:c r="N171" s="14" t="b">
        <x:v>0</x:v>
      </x:c>
      <x:c r="O171" s="14" t="b">
        <x:v>0</x:v>
      </x:c>
      <x:c r="P171" s="14" t="b">
        <x:v>0</x:v>
      </x:c>
      <x:c r="Q171" s="14" t="b">
        <x:v>0</x:v>
      </x:c>
      <x:c r="R171" s="14" t="b">
        <x:v>0</x:v>
      </x:c>
      <x:c r="S171" s="14" t="b">
        <x:v>0</x:v>
      </x:c>
    </x:row>
    <x:row r="172" ht="15" hidden="0" customHeight="1">
      <x:c r="A172" s="2" t="str">
        <x:v>SG-MC-08-2025062616</x:v>
      </x:c>
      <x:c r="B172" s="2" t="str">
        <x:v>2025-06-26 16:00:00</x:v>
      </x:c>
      <x:c r="C172" s="2" t="str">
        <x:v>MC-08</x:v>
      </x:c>
      <x:c r="D172" s="2" t="str">
        <x:v>PRD-C</x:v>
      </x:c>
      <x:c r="E172" s="2" t="n">
        <x:v>42.051472025874354</x:v>
      </x:c>
      <x:c r="F172" s="2" t="n">
        <x:v>0.1528408679862138</x:v>
      </x:c>
      <x:c r="G172" s="2" t="n">
        <x:v>5</x:v>
      </x:c>
      <x:c r="H172" s="2" t="n">
        <x:v>41.98128274145005</x:v>
      </x:c>
      <x:c r="I172" s="2" t="n">
        <x:v>42.03038150785648</x:v>
      </x:c>
      <x:c r="J172" s="2" t="n">
        <x:v>42.0794802742629</x:v>
      </x:c>
      <x:c r="K172" s="2" t="n">
        <x:v>0</x:v>
      </x:c>
      <x:c r="L172" s="2" t="n">
        <x:v>0.0850931826801104</x:v>
      </x:c>
      <x:c r="M172" s="2" t="n">
        <x:v>0.1798869881857533</x:v>
      </x:c>
      <x:c r="N172" s="14" t="b">
        <x:v>0</x:v>
      </x:c>
      <x:c r="O172" s="14" t="b">
        <x:v>0</x:v>
      </x:c>
      <x:c r="P172" s="14" t="b">
        <x:v>0</x:v>
      </x:c>
      <x:c r="Q172" s="14" t="b">
        <x:v>0</x:v>
      </x:c>
      <x:c r="R172" s="14" t="b">
        <x:v>0</x:v>
      </x:c>
      <x:c r="S172" s="14" t="b">
        <x:v>0</x:v>
      </x:c>
    </x:row>
    <x:row r="173" ht="15" hidden="0" customHeight="1">
      <x:c r="A173" s="2" t="str">
        <x:v>SG-MC-12-2025062616</x:v>
      </x:c>
      <x:c r="B173" s="2" t="str">
        <x:v>2025-06-26 16:00:00</x:v>
      </x:c>
      <x:c r="C173" s="2" t="str">
        <x:v>MC-12</x:v>
      </x:c>
      <x:c r="D173" s="2" t="str">
        <x:v>PRD-C</x:v>
      </x:c>
      <x:c r="E173" s="2" t="n">
        <x:v>42.01793127919071</x:v>
      </x:c>
      <x:c r="F173" s="2" t="n">
        <x:v>0.0447011996045745</x:v>
      </x:c>
      <x:c r="G173" s="2" t="n">
        <x:v>5</x:v>
      </x:c>
      <x:c r="H173" s="2" t="n">
        <x:v>41.98128274145005</x:v>
      </x:c>
      <x:c r="I173" s="2" t="n">
        <x:v>42.03038150785648</x:v>
      </x:c>
      <x:c r="J173" s="2" t="n">
        <x:v>42.0794802742629</x:v>
      </x:c>
      <x:c r="K173" s="2" t="n">
        <x:v>0</x:v>
      </x:c>
      <x:c r="L173" s="2" t="n">
        <x:v>0.0850931826801104</x:v>
      </x:c>
      <x:c r="M173" s="2" t="n">
        <x:v>0.1798869881857533</x:v>
      </x:c>
      <x:c r="N173" s="14" t="b">
        <x:v>0</x:v>
      </x:c>
      <x:c r="O173" s="14" t="b">
        <x:v>0</x:v>
      </x:c>
      <x:c r="P173" s="14" t="b">
        <x:v>0</x:v>
      </x:c>
      <x:c r="Q173" s="14" t="b">
        <x:v>0</x:v>
      </x:c>
      <x:c r="R173" s="14" t="b">
        <x:v>0</x:v>
      </x:c>
      <x:c r="S173" s="14" t="b">
        <x:v>0</x:v>
      </x:c>
    </x:row>
    <x:row r="174" ht="15" hidden="0" customHeight="1">
      <x:c r="A174" s="2" t="str">
        <x:v>SG-MC-04-2025062616</x:v>
      </x:c>
      <x:c r="B174" s="2" t="str">
        <x:v>2025-06-26 16:00:00</x:v>
      </x:c>
      <x:c r="C174" s="2" t="str">
        <x:v>MC-04</x:v>
      </x:c>
      <x:c r="D174" s="2" t="str">
        <x:v>PRD-C</x:v>
      </x:c>
      <x:c r="E174" s="2" t="n">
        <x:v>42.05290790077113</x:v>
      </x:c>
      <x:c r="F174" s="2" t="n">
        <x:v>0.1294014632403772</x:v>
      </x:c>
      <x:c r="G174" s="2" t="n">
        <x:v>5</x:v>
      </x:c>
      <x:c r="H174" s="2" t="n">
        <x:v>41.98128274145005</x:v>
      </x:c>
      <x:c r="I174" s="2" t="n">
        <x:v>42.03038150785648</x:v>
      </x:c>
      <x:c r="J174" s="2" t="n">
        <x:v>42.0794802742629</x:v>
      </x:c>
      <x:c r="K174" s="2" t="n">
        <x:v>0</x:v>
      </x:c>
      <x:c r="L174" s="2" t="n">
        <x:v>0.0850931826801104</x:v>
      </x:c>
      <x:c r="M174" s="2" t="n">
        <x:v>0.1798869881857533</x:v>
      </x:c>
      <x:c r="N174" s="14" t="b">
        <x:v>0</x:v>
      </x:c>
      <x:c r="O174" s="14" t="b">
        <x:v>0</x:v>
      </x:c>
      <x:c r="P174" s="14" t="b">
        <x:v>0</x:v>
      </x:c>
      <x:c r="Q174" s="14" t="b">
        <x:v>0</x:v>
      </x:c>
      <x:c r="R174" s="14" t="b">
        <x:v>0</x:v>
      </x:c>
      <x:c r="S174" s="14" t="b">
        <x:v>0</x:v>
      </x:c>
    </x:row>
    <x:row r="175" ht="15" hidden="0" customHeight="1">
      <x:c r="A175" s="2" t="str">
        <x:v>SG-MC-02-2025062616</x:v>
      </x:c>
      <x:c r="B175" s="2" t="str">
        <x:v>2025-06-26 16:00:00</x:v>
      </x:c>
      <x:c r="C175" s="2" t="str">
        <x:v>MC-02</x:v>
      </x:c>
      <x:c r="D175" s="2" t="str">
        <x:v>PRD-A</x:v>
      </x:c>
      <x:c r="E175" s="2" t="n">
        <x:v>25.00650286278416</x:v>
      </x:c>
      <x:c r="F175" s="2" t="n">
        <x:v>0.0539785141002724</x:v>
      </x:c>
      <x:c r="G175" s="2" t="n">
        <x:v>5</x:v>
      </x:c>
      <x:c r="H175" s="2" t="n">
        <x:v>24.98096531359448</x:v>
      </x:c>
      <x:c r="I175" s="2" t="n">
        <x:v>25.029746559290437</x:v>
      </x:c>
      <x:c r="J175" s="2" t="n">
        <x:v>25.07852780498639</x:v>
      </x:c>
      <x:c r="K175" s="2" t="n">
        <x:v>0</x:v>
      </x:c>
      <x:c r="L175" s="2" t="n">
        <x:v>0.0845428868214142</x:v>
      </x:c>
      <x:c r="M175" s="2" t="n">
        <x:v>0.1787236627404697</x:v>
      </x:c>
      <x:c r="N175" s="14" t="b">
        <x:v>0</x:v>
      </x:c>
      <x:c r="O175" s="14" t="b">
        <x:v>0</x:v>
      </x:c>
      <x:c r="P175" s="14" t="b">
        <x:v>0</x:v>
      </x:c>
      <x:c r="Q175" s="14" t="b">
        <x:v>0</x:v>
      </x:c>
      <x:c r="R175" s="14" t="b">
        <x:v>0</x:v>
      </x:c>
      <x:c r="S175" s="14" t="b">
        <x:v>0</x:v>
      </x:c>
    </x:row>
    <x:row r="176" ht="15" hidden="0" customHeight="1">
      <x:c r="A176" s="2" t="str">
        <x:v>SG-MC-10-2025062616</x:v>
      </x:c>
      <x:c r="B176" s="2" t="str">
        <x:v>2025-06-26 16:00:00</x:v>
      </x:c>
      <x:c r="C176" s="2" t="str">
        <x:v>MC-10</x:v>
      </x:c>
      <x:c r="D176" s="2" t="str">
        <x:v>PRD-A</x:v>
      </x:c>
      <x:c r="E176" s="2" t="n">
        <x:v>25.047275146652357</x:v>
      </x:c>
      <x:c r="F176" s="2" t="n">
        <x:v>0.1146800780724923</x:v>
      </x:c>
      <x:c r="G176" s="2" t="n">
        <x:v>5</x:v>
      </x:c>
      <x:c r="H176" s="2" t="n">
        <x:v>24.98096531359448</x:v>
      </x:c>
      <x:c r="I176" s="2" t="n">
        <x:v>25.029746559290437</x:v>
      </x:c>
      <x:c r="J176" s="2" t="n">
        <x:v>25.07852780498639</x:v>
      </x:c>
      <x:c r="K176" s="2" t="n">
        <x:v>0</x:v>
      </x:c>
      <x:c r="L176" s="2" t="n">
        <x:v>0.0845428868214142</x:v>
      </x:c>
      <x:c r="M176" s="2" t="n">
        <x:v>0.1787236627404697</x:v>
      </x:c>
      <x:c r="N176" s="14" t="b">
        <x:v>0</x:v>
      </x:c>
      <x:c r="O176" s="14" t="b">
        <x:v>0</x:v>
      </x:c>
      <x:c r="P176" s="14" t="b">
        <x:v>0</x:v>
      </x:c>
      <x:c r="Q176" s="14" t="b">
        <x:v>0</x:v>
      </x:c>
      <x:c r="R176" s="14" t="b">
        <x:v>0</x:v>
      </x:c>
      <x:c r="S176" s="14" t="b">
        <x:v>0</x:v>
      </x:c>
    </x:row>
    <x:row r="177" ht="15" hidden="0" customHeight="1">
      <x:c r="A177" s="2" t="str">
        <x:v>SG-MC-09-2025062616</x:v>
      </x:c>
      <x:c r="B177" s="2" t="str">
        <x:v>2025-06-26 16:00:00</x:v>
      </x:c>
      <x:c r="C177" s="2" t="str">
        <x:v>MC-09</x:v>
      </x:c>
      <x:c r="D177" s="2" t="str">
        <x:v>PRD-D</x:v>
      </x:c>
      <x:c r="E177" s="2" t="n">
        <x:v>60.06555192264011</x:v>
      </x:c>
      <x:c r="F177" s="2" t="n">
        <x:v>0.1234943680273801</x:v>
      </x:c>
      <x:c r="G177" s="2" t="n">
        <x:v>5</x:v>
      </x:c>
      <x:c r="H177" s="2" t="n">
        <x:v>59.9812332134637</x:v>
      </x:c>
      <x:c r="I177" s="2" t="n">
        <x:v>60.03007765222271</x:v>
      </x:c>
      <x:c r="J177" s="2" t="n">
        <x:v>60.07892209098171</x:v>
      </x:c>
      <x:c r="K177" s="2" t="n">
        <x:v>0</x:v>
      </x:c>
      <x:c r="L177" s="2" t="n">
        <x:v>0.0846524068613621</x:v>
      </x:c>
      <x:c r="M177" s="2" t="n">
        <x:v>0.1789551881049196</x:v>
      </x:c>
      <x:c r="N177" s="14" t="b">
        <x:v>0</x:v>
      </x:c>
      <x:c r="O177" s="14" t="b">
        <x:v>0</x:v>
      </x:c>
      <x:c r="P177" s="14" t="b">
        <x:v>0</x:v>
      </x:c>
      <x:c r="Q177" s="14" t="b">
        <x:v>0</x:v>
      </x:c>
      <x:c r="R177" s="14" t="b">
        <x:v>0</x:v>
      </x:c>
      <x:c r="S177" s="14" t="b">
        <x:v>0</x:v>
      </x:c>
    </x:row>
    <x:row r="178" ht="15" hidden="0" customHeight="1">
      <x:c r="A178" s="2" t="str">
        <x:v>SG-MC-07-2025062700</x:v>
      </x:c>
      <x:c r="B178" s="2" t="str">
        <x:v>2025-06-27 00:00:00</x:v>
      </x:c>
      <x:c r="C178" s="2" t="str">
        <x:v>MC-07</x:v>
      </x:c>
      <x:c r="D178" s="2" t="str">
        <x:v>PRD-B</x:v>
      </x:c>
      <x:c r="E178" s="2" t="n">
        <x:v>79.9927230815185</x:v>
      </x:c>
      <x:c r="F178" s="2" t="n">
        <x:v>0.0828239569208051</x:v>
      </x:c>
      <x:c r="G178" s="2" t="n">
        <x:v>5</x:v>
      </x:c>
      <x:c r="H178" s="2" t="n">
        <x:v>79.98133298727322</x:v>
      </x:c>
      <x:c r="I178" s="2" t="n">
        <x:v>80.02998001088412</x:v>
      </x:c>
      <x:c r="J178" s="2" t="n">
        <x:v>80.07862703449501</x:v>
      </x:c>
      <x:c r="K178" s="2" t="n">
        <x:v>0</x:v>
      </x:c>
      <x:c r="L178" s="2" t="n">
        <x:v>0.0843102662233807</x:v>
      </x:c>
      <x:c r="M178" s="2" t="n">
        <x:v>0.1782319027962268</x:v>
      </x:c>
      <x:c r="N178" s="14" t="b">
        <x:v>0</x:v>
      </x:c>
      <x:c r="O178" s="14" t="b">
        <x:v>0</x:v>
      </x:c>
      <x:c r="P178" s="14" t="b">
        <x:v>0</x:v>
      </x:c>
      <x:c r="Q178" s="14" t="b">
        <x:v>0</x:v>
      </x:c>
      <x:c r="R178" s="14" t="b">
        <x:v>0</x:v>
      </x:c>
      <x:c r="S178" s="14" t="b">
        <x:v>0</x:v>
      </x:c>
    </x:row>
    <x:row r="179" ht="15" hidden="0" customHeight="1">
      <x:c r="A179" s="2" t="str">
        <x:v>SG-MC-11-2025062700</x:v>
      </x:c>
      <x:c r="B179" s="2" t="str">
        <x:v>2025-06-27 00:00:00</x:v>
      </x:c>
      <x:c r="C179" s="2" t="str">
        <x:v>MC-11</x:v>
      </x:c>
      <x:c r="D179" s="2" t="str">
        <x:v>PRD-B</x:v>
      </x:c>
      <x:c r="E179" s="2" t="n">
        <x:v>79.9981682263574</x:v>
      </x:c>
      <x:c r="F179" s="2" t="n">
        <x:v>0.0893461172413054</x:v>
      </x:c>
      <x:c r="G179" s="2" t="n">
        <x:v>5</x:v>
      </x:c>
      <x:c r="H179" s="2" t="n">
        <x:v>79.98133298727322</x:v>
      </x:c>
      <x:c r="I179" s="2" t="n">
        <x:v>80.02998001088412</x:v>
      </x:c>
      <x:c r="J179" s="2" t="n">
        <x:v>80.07862703449501</x:v>
      </x:c>
      <x:c r="K179" s="2" t="n">
        <x:v>0</x:v>
      </x:c>
      <x:c r="L179" s="2" t="n">
        <x:v>0.0843102662233807</x:v>
      </x:c>
      <x:c r="M179" s="2" t="n">
        <x:v>0.1782319027962268</x:v>
      </x:c>
      <x:c r="N179" s="14" t="b">
        <x:v>0</x:v>
      </x:c>
      <x:c r="O179" s="14" t="b">
        <x:v>0</x:v>
      </x:c>
      <x:c r="P179" s="14" t="b">
        <x:v>0</x:v>
      </x:c>
      <x:c r="Q179" s="14" t="b">
        <x:v>0</x:v>
      </x:c>
      <x:c r="R179" s="14" t="b">
        <x:v>0</x:v>
      </x:c>
      <x:c r="S179" s="14" t="b">
        <x:v>0</x:v>
      </x:c>
    </x:row>
    <x:row r="180" ht="15" hidden="0" customHeight="1">
      <x:c r="A180" s="2" t="str">
        <x:v>SG-MC-03-2025062700</x:v>
      </x:c>
      <x:c r="B180" s="2" t="str">
        <x:v>2025-06-27 00:00:00</x:v>
      </x:c>
      <x:c r="C180" s="2" t="str">
        <x:v>MC-03</x:v>
      </x:c>
      <x:c r="D180" s="2" t="str">
        <x:v>PRD-B</x:v>
      </x:c>
      <x:c r="E180" s="2" t="n">
        <x:v>80.01254273679942</x:v>
      </x:c>
      <x:c r="F180" s="2" t="n">
        <x:v>0.0617483790994839</x:v>
      </x:c>
      <x:c r="G180" s="2" t="n">
        <x:v>5</x:v>
      </x:c>
      <x:c r="H180" s="2" t="n">
        <x:v>79.98133298727322</x:v>
      </x:c>
      <x:c r="I180" s="2" t="n">
        <x:v>80.02998001088412</x:v>
      </x:c>
      <x:c r="J180" s="2" t="n">
        <x:v>80.07862703449501</x:v>
      </x:c>
      <x:c r="K180" s="2" t="n">
        <x:v>0</x:v>
      </x:c>
      <x:c r="L180" s="2" t="n">
        <x:v>0.0843102662233807</x:v>
      </x:c>
      <x:c r="M180" s="2" t="n">
        <x:v>0.1782319027962268</x:v>
      </x:c>
      <x:c r="N180" s="14" t="b">
        <x:v>0</x:v>
      </x:c>
      <x:c r="O180" s="14" t="b">
        <x:v>0</x:v>
      </x:c>
      <x:c r="P180" s="14" t="b">
        <x:v>0</x:v>
      </x:c>
      <x:c r="Q180" s="14" t="b">
        <x:v>0</x:v>
      </x:c>
      <x:c r="R180" s="14" t="b">
        <x:v>0</x:v>
      </x:c>
      <x:c r="S180" s="14" t="b">
        <x:v>0</x:v>
      </x:c>
    </x:row>
    <x:row r="181" ht="15" hidden="0" customHeight="1">
      <x:c r="A181" s="2" t="str">
        <x:v>SG-MC-04-2025062700</x:v>
      </x:c>
      <x:c r="B181" s="2" t="str">
        <x:v>2025-06-27 00:00:00</x:v>
      </x:c>
      <x:c r="C181" s="2" t="str">
        <x:v>MC-04</x:v>
      </x:c>
      <x:c r="D181" s="2" t="str">
        <x:v>PRD-C</x:v>
      </x:c>
      <x:c r="E181" s="2" t="n">
        <x:v>42.05312491948943</x:v>
      </x:c>
      <x:c r="F181" s="2" t="n">
        <x:v>0.056088864928121</x:v>
      </x:c>
      <x:c r="G181" s="2" t="n">
        <x:v>5</x:v>
      </x:c>
      <x:c r="H181" s="2" t="n">
        <x:v>41.98128274145005</x:v>
      </x:c>
      <x:c r="I181" s="2" t="n">
        <x:v>42.03038150785648</x:v>
      </x:c>
      <x:c r="J181" s="2" t="n">
        <x:v>42.0794802742629</x:v>
      </x:c>
      <x:c r="K181" s="2" t="n">
        <x:v>0</x:v>
      </x:c>
      <x:c r="L181" s="2" t="n">
        <x:v>0.0850931826801104</x:v>
      </x:c>
      <x:c r="M181" s="2" t="n">
        <x:v>0.1798869881857533</x:v>
      </x:c>
      <x:c r="N181" s="14" t="b">
        <x:v>0</x:v>
      </x:c>
      <x:c r="O181" s="14" t="b">
        <x:v>0</x:v>
      </x:c>
      <x:c r="P181" s="14" t="b">
        <x:v>0</x:v>
      </x:c>
      <x:c r="Q181" s="14" t="b">
        <x:v>0</x:v>
      </x:c>
      <x:c r="R181" s="14" t="b">
        <x:v>0</x:v>
      </x:c>
      <x:c r="S181" s="14" t="b">
        <x:v>0</x:v>
      </x:c>
    </x:row>
    <x:row r="182" ht="15" hidden="0" customHeight="1">
      <x:c r="A182" s="2" t="str">
        <x:v>SG-MC-06-2025062700</x:v>
      </x:c>
      <x:c r="B182" s="2" t="str">
        <x:v>2025-06-27 00:00:00</x:v>
      </x:c>
      <x:c r="C182" s="2" t="str">
        <x:v>MC-06</x:v>
      </x:c>
      <x:c r="D182" s="2" t="str">
        <x:v>PRD-A</x:v>
      </x:c>
      <x:c r="E182" s="2" t="n">
        <x:v>25.034354012341147</x:v>
      </x:c>
      <x:c r="F182" s="2" t="n">
        <x:v>0.0911866708140785</x:v>
      </x:c>
      <x:c r="G182" s="2" t="n">
        <x:v>5</x:v>
      </x:c>
      <x:c r="H182" s="2" t="n">
        <x:v>24.98096531359448</x:v>
      </x:c>
      <x:c r="I182" s="2" t="n">
        <x:v>25.029746559290437</x:v>
      </x:c>
      <x:c r="J182" s="2" t="n">
        <x:v>25.07852780498639</x:v>
      </x:c>
      <x:c r="K182" s="2" t="n">
        <x:v>0</x:v>
      </x:c>
      <x:c r="L182" s="2" t="n">
        <x:v>0.0845428868214142</x:v>
      </x:c>
      <x:c r="M182" s="2" t="n">
        <x:v>0.1787236627404697</x:v>
      </x:c>
      <x:c r="N182" s="14" t="b">
        <x:v>0</x:v>
      </x:c>
      <x:c r="O182" s="14" t="b">
        <x:v>0</x:v>
      </x:c>
      <x:c r="P182" s="14" t="b">
        <x:v>0</x:v>
      </x:c>
      <x:c r="Q182" s="14" t="b">
        <x:v>0</x:v>
      </x:c>
      <x:c r="R182" s="14" t="b">
        <x:v>0</x:v>
      </x:c>
      <x:c r="S182" s="14" t="b">
        <x:v>0</x:v>
      </x:c>
    </x:row>
    <x:row r="183" ht="15" hidden="0" customHeight="1">
      <x:c r="A183" s="2" t="str">
        <x:v>SG-MC-02-2025062700</x:v>
      </x:c>
      <x:c r="B183" s="2" t="str">
        <x:v>2025-06-27 00:00:00</x:v>
      </x:c>
      <x:c r="C183" s="2" t="str">
        <x:v>MC-02</x:v>
      </x:c>
      <x:c r="D183" s="2" t="str">
        <x:v>PRD-A</x:v>
      </x:c>
      <x:c r="E183" s="2" t="n">
        <x:v>25.004619753516792</x:v>
      </x:c>
      <x:c r="F183" s="2" t="n">
        <x:v>0.0547570542349582</x:v>
      </x:c>
      <x:c r="G183" s="2" t="n">
        <x:v>5</x:v>
      </x:c>
      <x:c r="H183" s="2" t="n">
        <x:v>24.98096531359448</x:v>
      </x:c>
      <x:c r="I183" s="2" t="n">
        <x:v>25.029746559290437</x:v>
      </x:c>
      <x:c r="J183" s="2" t="n">
        <x:v>25.07852780498639</x:v>
      </x:c>
      <x:c r="K183" s="2" t="n">
        <x:v>0</x:v>
      </x:c>
      <x:c r="L183" s="2" t="n">
        <x:v>0.0845428868214142</x:v>
      </x:c>
      <x:c r="M183" s="2" t="n">
        <x:v>0.1787236627404697</x:v>
      </x:c>
      <x:c r="N183" s="14" t="b">
        <x:v>0</x:v>
      </x:c>
      <x:c r="O183" s="14" t="b">
        <x:v>0</x:v>
      </x:c>
      <x:c r="P183" s="14" t="b">
        <x:v>0</x:v>
      </x:c>
      <x:c r="Q183" s="14" t="b">
        <x:v>0</x:v>
      </x:c>
      <x:c r="R183" s="14" t="b">
        <x:v>0</x:v>
      </x:c>
      <x:c r="S183" s="14" t="b">
        <x:v>0</x:v>
      </x:c>
    </x:row>
    <x:row r="184" ht="15" hidden="0" customHeight="1">
      <x:c r="A184" s="2" t="str">
        <x:v>SG-MC-01-2025062700</x:v>
      </x:c>
      <x:c r="B184" s="2" t="str">
        <x:v>2025-06-27 00:00:00</x:v>
      </x:c>
      <x:c r="C184" s="2" t="str">
        <x:v>MC-01</x:v>
      </x:c>
      <x:c r="D184" s="2" t="str">
        <x:v>PRD-D</x:v>
      </x:c>
      <x:c r="E184" s="2" t="n">
        <x:v>59.99969988841425</x:v>
      </x:c>
      <x:c r="F184" s="2" t="n">
        <x:v>0.0354988187139468</x:v>
      </x:c>
      <x:c r="G184" s="2" t="n">
        <x:v>5</x:v>
      </x:c>
      <x:c r="H184" s="2" t="n">
        <x:v>59.9812332134637</x:v>
      </x:c>
      <x:c r="I184" s="2" t="n">
        <x:v>60.03007765222271</x:v>
      </x:c>
      <x:c r="J184" s="2" t="n">
        <x:v>60.07892209098171</x:v>
      </x:c>
      <x:c r="K184" s="2" t="n">
        <x:v>0</x:v>
      </x:c>
      <x:c r="L184" s="2" t="n">
        <x:v>0.0846524068613621</x:v>
      </x:c>
      <x:c r="M184" s="2" t="n">
        <x:v>0.1789551881049196</x:v>
      </x:c>
      <x:c r="N184" s="14" t="b">
        <x:v>0</x:v>
      </x:c>
      <x:c r="O184" s="14" t="b">
        <x:v>0</x:v>
      </x:c>
      <x:c r="P184" s="14" t="b">
        <x:v>0</x:v>
      </x:c>
      <x:c r="Q184" s="14" t="b">
        <x:v>0</x:v>
      </x:c>
      <x:c r="R184" s="14" t="b">
        <x:v>0</x:v>
      </x:c>
      <x:c r="S184" s="14" t="b">
        <x:v>0</x:v>
      </x:c>
    </x:row>
    <x:row r="185" ht="15" hidden="0" customHeight="1">
      <x:c r="A185" s="2" t="str">
        <x:v>SG-MC-05-2025062700</x:v>
      </x:c>
      <x:c r="B185" s="2" t="str">
        <x:v>2025-06-27 00:00:00</x:v>
      </x:c>
      <x:c r="C185" s="2" t="str">
        <x:v>MC-05</x:v>
      </x:c>
      <x:c r="D185" s="2" t="str">
        <x:v>PRD-D</x:v>
      </x:c>
      <x:c r="E185" s="2" t="n">
        <x:v>60.05841875309469</x:v>
      </x:c>
      <x:c r="F185" s="2" t="n">
        <x:v>0.1252997071935482</x:v>
      </x:c>
      <x:c r="G185" s="2" t="n">
        <x:v>5</x:v>
      </x:c>
      <x:c r="H185" s="2" t="n">
        <x:v>59.9812332134637</x:v>
      </x:c>
      <x:c r="I185" s="2" t="n">
        <x:v>60.03007765222271</x:v>
      </x:c>
      <x:c r="J185" s="2" t="n">
        <x:v>60.07892209098171</x:v>
      </x:c>
      <x:c r="K185" s="2" t="n">
        <x:v>0</x:v>
      </x:c>
      <x:c r="L185" s="2" t="n">
        <x:v>0.0846524068613621</x:v>
      </x:c>
      <x:c r="M185" s="2" t="n">
        <x:v>0.1789551881049196</x:v>
      </x:c>
      <x:c r="N185" s="14" t="b">
        <x:v>0</x:v>
      </x:c>
      <x:c r="O185" s="14" t="b">
        <x:v>0</x:v>
      </x:c>
      <x:c r="P185" s="14" t="b">
        <x:v>0</x:v>
      </x:c>
      <x:c r="Q185" s="14" t="b">
        <x:v>0</x:v>
      </x:c>
      <x:c r="R185" s="14" t="b">
        <x:v>0</x:v>
      </x:c>
      <x:c r="S185" s="14" t="b">
        <x:v>0</x:v>
      </x:c>
    </x:row>
    <x:row r="186" ht="15" hidden="0" customHeight="1">
      <x:c r="A186" s="2" t="str">
        <x:v>SG-MC-08-2025062700</x:v>
      </x:c>
      <x:c r="B186" s="2" t="str">
        <x:v>2025-06-27 00:00:00</x:v>
      </x:c>
      <x:c r="C186" s="2" t="str">
        <x:v>MC-08</x:v>
      </x:c>
      <x:c r="D186" s="2" t="str">
        <x:v>PRD-C</x:v>
      </x:c>
      <x:c r="E186" s="2" t="n">
        <x:v>42.042763357961256</x:v>
      </x:c>
      <x:c r="F186" s="2" t="n">
        <x:v>0.0476175618455627</x:v>
      </x:c>
      <x:c r="G186" s="2" t="n">
        <x:v>5</x:v>
      </x:c>
      <x:c r="H186" s="2" t="n">
        <x:v>41.98128274145005</x:v>
      </x:c>
      <x:c r="I186" s="2" t="n">
        <x:v>42.03038150785648</x:v>
      </x:c>
      <x:c r="J186" s="2" t="n">
        <x:v>42.0794802742629</x:v>
      </x:c>
      <x:c r="K186" s="2" t="n">
        <x:v>0</x:v>
      </x:c>
      <x:c r="L186" s="2" t="n">
        <x:v>0.0850931826801104</x:v>
      </x:c>
      <x:c r="M186" s="2" t="n">
        <x:v>0.1798869881857533</x:v>
      </x:c>
      <x:c r="N186" s="14" t="b">
        <x:v>0</x:v>
      </x:c>
      <x:c r="O186" s="14" t="b">
        <x:v>0</x:v>
      </x:c>
      <x:c r="P186" s="14" t="b">
        <x:v>0</x:v>
      </x:c>
      <x:c r="Q186" s="14" t="b">
        <x:v>0</x:v>
      </x:c>
      <x:c r="R186" s="14" t="b">
        <x:v>0</x:v>
      </x:c>
      <x:c r="S186" s="14" t="b">
        <x:v>0</x:v>
      </x:c>
    </x:row>
    <x:row r="187" ht="15" hidden="0" customHeight="1">
      <x:c r="A187" s="2" t="str">
        <x:v>SG-MC-12-2025062700</x:v>
      </x:c>
      <x:c r="B187" s="2" t="str">
        <x:v>2025-06-27 00:00:00</x:v>
      </x:c>
      <x:c r="C187" s="2" t="str">
        <x:v>MC-12</x:v>
      </x:c>
      <x:c r="D187" s="2" t="str">
        <x:v>PRD-C</x:v>
      </x:c>
      <x:c r="E187" s="2" t="n">
        <x:v>42.00300947489785</x:v>
      </x:c>
      <x:c r="F187" s="2" t="n">
        <x:v>0.1273766092009509</x:v>
      </x:c>
      <x:c r="G187" s="2" t="n">
        <x:v>5</x:v>
      </x:c>
      <x:c r="H187" s="2" t="n">
        <x:v>41.98128274145005</x:v>
      </x:c>
      <x:c r="I187" s="2" t="n">
        <x:v>42.03038150785648</x:v>
      </x:c>
      <x:c r="J187" s="2" t="n">
        <x:v>42.0794802742629</x:v>
      </x:c>
      <x:c r="K187" s="2" t="n">
        <x:v>0</x:v>
      </x:c>
      <x:c r="L187" s="2" t="n">
        <x:v>0.0850931826801104</x:v>
      </x:c>
      <x:c r="M187" s="2" t="n">
        <x:v>0.1798869881857533</x:v>
      </x:c>
      <x:c r="N187" s="14" t="b">
        <x:v>0</x:v>
      </x:c>
      <x:c r="O187" s="14" t="b">
        <x:v>0</x:v>
      </x:c>
      <x:c r="P187" s="14" t="b">
        <x:v>0</x:v>
      </x:c>
      <x:c r="Q187" s="14" t="b">
        <x:v>0</x:v>
      </x:c>
      <x:c r="R187" s="14" t="b">
        <x:v>0</x:v>
      </x:c>
      <x:c r="S187" s="14" t="b">
        <x:v>0</x:v>
      </x:c>
    </x:row>
    <x:row r="188" ht="15" hidden="0" customHeight="1">
      <x:c r="A188" s="2" t="str">
        <x:v>SG-MC-10-2025062700</x:v>
      </x:c>
      <x:c r="B188" s="2" t="str">
        <x:v>2025-06-27 00:00:00</x:v>
      </x:c>
      <x:c r="C188" s="2" t="str">
        <x:v>MC-10</x:v>
      </x:c>
      <x:c r="D188" s="2" t="str">
        <x:v>PRD-A</x:v>
      </x:c>
      <x:c r="E188" s="2" t="n">
        <x:v>25.050838227615497</x:v>
      </x:c>
      <x:c r="F188" s="2" t="n">
        <x:v>0.0650857436554481</x:v>
      </x:c>
      <x:c r="G188" s="2" t="n">
        <x:v>5</x:v>
      </x:c>
      <x:c r="H188" s="2" t="n">
        <x:v>24.98096531359448</x:v>
      </x:c>
      <x:c r="I188" s="2" t="n">
        <x:v>25.029746559290437</x:v>
      </x:c>
      <x:c r="J188" s="2" t="n">
        <x:v>25.07852780498639</x:v>
      </x:c>
      <x:c r="K188" s="2" t="n">
        <x:v>0</x:v>
      </x:c>
      <x:c r="L188" s="2" t="n">
        <x:v>0.0845428868214142</x:v>
      </x:c>
      <x:c r="M188" s="2" t="n">
        <x:v>0.1787236627404697</x:v>
      </x:c>
      <x:c r="N188" s="14" t="b">
        <x:v>0</x:v>
      </x:c>
      <x:c r="O188" s="14" t="b">
        <x:v>0</x:v>
      </x:c>
      <x:c r="P188" s="14" t="b">
        <x:v>0</x:v>
      </x:c>
      <x:c r="Q188" s="14" t="b">
        <x:v>0</x:v>
      </x:c>
      <x:c r="R188" s="14" t="b">
        <x:v>0</x:v>
      </x:c>
      <x:c r="S188" s="14" t="b">
        <x:v>0</x:v>
      </x:c>
    </x:row>
    <x:row r="189" ht="15" hidden="0" customHeight="1">
      <x:c r="A189" s="2" t="str">
        <x:v>SG-MC-09-2025062700</x:v>
      </x:c>
      <x:c r="B189" s="2" t="str">
        <x:v>2025-06-27 00:00:00</x:v>
      </x:c>
      <x:c r="C189" s="2" t="str">
        <x:v>MC-09</x:v>
      </x:c>
      <x:c r="D189" s="2" t="str">
        <x:v>PRD-D</x:v>
      </x:c>
      <x:c r="E189" s="2" t="n">
        <x:v>60.04168130792135</x:v>
      </x:c>
      <x:c r="F189" s="2" t="n">
        <x:v>0.0292730443612754</x:v>
      </x:c>
      <x:c r="G189" s="2" t="n">
        <x:v>5</x:v>
      </x:c>
      <x:c r="H189" s="2" t="n">
        <x:v>59.9812332134637</x:v>
      </x:c>
      <x:c r="I189" s="2" t="n">
        <x:v>60.03007765222271</x:v>
      </x:c>
      <x:c r="J189" s="2" t="n">
        <x:v>60.07892209098171</x:v>
      </x:c>
      <x:c r="K189" s="2" t="n">
        <x:v>0</x:v>
      </x:c>
      <x:c r="L189" s="2" t="n">
        <x:v>0.0846524068613621</x:v>
      </x:c>
      <x:c r="M189" s="2" t="n">
        <x:v>0.1789551881049196</x:v>
      </x:c>
      <x:c r="N189" s="14" t="b">
        <x:v>0</x:v>
      </x:c>
      <x:c r="O189" s="14" t="b">
        <x:v>0</x:v>
      </x:c>
      <x:c r="P189" s="14" t="b">
        <x:v>0</x:v>
      </x:c>
      <x:c r="Q189" s="14" t="b">
        <x:v>0</x:v>
      </x:c>
      <x:c r="R189" s="14" t="b">
        <x:v>0</x:v>
      </x:c>
      <x:c r="S189" s="14" t="b">
        <x:v>0</x:v>
      </x:c>
    </x:row>
    <x:row r="190" ht="15" hidden="0" customHeight="1">
      <x:c r="A190" s="2" t="str">
        <x:v>SG-MC-07-2025062708</x:v>
      </x:c>
      <x:c r="B190" s="2" t="str">
        <x:v>2025-06-27 08:00:00</x:v>
      </x:c>
      <x:c r="C190" s="2" t="str">
        <x:v>MC-07</x:v>
      </x:c>
      <x:c r="D190" s="2" t="str">
        <x:v>PRD-B</x:v>
      </x:c>
      <x:c r="E190" s="2" t="n">
        <x:v>80.02528699252068</x:v>
      </x:c>
      <x:c r="F190" s="2" t="n">
        <x:v>0.1180786218136802</x:v>
      </x:c>
      <x:c r="G190" s="2" t="n">
        <x:v>5</x:v>
      </x:c>
      <x:c r="H190" s="2" t="n">
        <x:v>79.98133298727322</x:v>
      </x:c>
      <x:c r="I190" s="2" t="n">
        <x:v>80.02998001088412</x:v>
      </x:c>
      <x:c r="J190" s="2" t="n">
        <x:v>80.07862703449501</x:v>
      </x:c>
      <x:c r="K190" s="2" t="n">
        <x:v>0</x:v>
      </x:c>
      <x:c r="L190" s="2" t="n">
        <x:v>0.0843102662233807</x:v>
      </x:c>
      <x:c r="M190" s="2" t="n">
        <x:v>0.1782319027962268</x:v>
      </x:c>
      <x:c r="N190" s="14" t="b">
        <x:v>0</x:v>
      </x:c>
      <x:c r="O190" s="14" t="b">
        <x:v>0</x:v>
      </x:c>
      <x:c r="P190" s="14" t="b">
        <x:v>0</x:v>
      </x:c>
      <x:c r="Q190" s="14" t="b">
        <x:v>0</x:v>
      </x:c>
      <x:c r="R190" s="14" t="b">
        <x:v>0</x:v>
      </x:c>
      <x:c r="S190" s="14" t="b">
        <x:v>0</x:v>
      </x:c>
    </x:row>
    <x:row r="191" ht="15" hidden="0" customHeight="1">
      <x:c r="A191" s="2" t="str">
        <x:v>SG-MC-11-2025062708</x:v>
      </x:c>
      <x:c r="B191" s="2" t="str">
        <x:v>2025-06-27 08:00:00</x:v>
      </x:c>
      <x:c r="C191" s="2" t="str">
        <x:v>MC-11</x:v>
      </x:c>
      <x:c r="D191" s="2" t="str">
        <x:v>PRD-B</x:v>
      </x:c>
      <x:c r="E191" s="2" t="n">
        <x:v>79.99998964208399</x:v>
      </x:c>
      <x:c r="F191" s="2" t="n">
        <x:v>0.0978631074279405</x:v>
      </x:c>
      <x:c r="G191" s="2" t="n">
        <x:v>5</x:v>
      </x:c>
      <x:c r="H191" s="2" t="n">
        <x:v>79.98133298727322</x:v>
      </x:c>
      <x:c r="I191" s="2" t="n">
        <x:v>80.02998001088412</x:v>
      </x:c>
      <x:c r="J191" s="2" t="n">
        <x:v>80.07862703449501</x:v>
      </x:c>
      <x:c r="K191" s="2" t="n">
        <x:v>0</x:v>
      </x:c>
      <x:c r="L191" s="2" t="n">
        <x:v>0.0843102662233807</x:v>
      </x:c>
      <x:c r="M191" s="2" t="n">
        <x:v>0.1782319027962268</x:v>
      </x:c>
      <x:c r="N191" s="14" t="b">
        <x:v>0</x:v>
      </x:c>
      <x:c r="O191" s="14" t="b">
        <x:v>0</x:v>
      </x:c>
      <x:c r="P191" s="14" t="b">
        <x:v>1</x:v>
      </x:c>
      <x:c r="Q191" s="14" t="b">
        <x:v>0</x:v>
      </x:c>
      <x:c r="R191" s="14" t="b">
        <x:v>1</x:v>
      </x:c>
      <x:c r="S191" s="14" t="b">
        <x:v>0</x:v>
      </x:c>
    </x:row>
    <x:row r="192" ht="15" hidden="0" customHeight="1">
      <x:c r="A192" s="2" t="str">
        <x:v>SG-MC-03-2025062708</x:v>
      </x:c>
      <x:c r="B192" s="2" t="str">
        <x:v>2025-06-27 08:00:00</x:v>
      </x:c>
      <x:c r="C192" s="2" t="str">
        <x:v>MC-03</x:v>
      </x:c>
      <x:c r="D192" s="2" t="str">
        <x:v>PRD-B</x:v>
      </x:c>
      <x:c r="E192" s="2" t="n">
        <x:v>80.0258281342344</x:v>
      </x:c>
      <x:c r="F192" s="2" t="n">
        <x:v>0.0371988953217652</x:v>
      </x:c>
      <x:c r="G192" s="2" t="n">
        <x:v>5</x:v>
      </x:c>
      <x:c r="H192" s="2" t="n">
        <x:v>79.98133298727322</x:v>
      </x:c>
      <x:c r="I192" s="2" t="n">
        <x:v>80.02998001088412</x:v>
      </x:c>
      <x:c r="J192" s="2" t="n">
        <x:v>80.07862703449501</x:v>
      </x:c>
      <x:c r="K192" s="2" t="n">
        <x:v>0</x:v>
      </x:c>
      <x:c r="L192" s="2" t="n">
        <x:v>0.0843102662233807</x:v>
      </x:c>
      <x:c r="M192" s="2" t="n">
        <x:v>0.1782319027962268</x:v>
      </x:c>
      <x:c r="N192" s="14" t="b">
        <x:v>0</x:v>
      </x:c>
      <x:c r="O192" s="14" t="b">
        <x:v>0</x:v>
      </x:c>
      <x:c r="P192" s="14" t="b">
        <x:v>0</x:v>
      </x:c>
      <x:c r="Q192" s="14" t="b">
        <x:v>0</x:v>
      </x:c>
      <x:c r="R192" s="14" t="b">
        <x:v>0</x:v>
      </x:c>
      <x:c r="S192" s="14" t="b">
        <x:v>0</x:v>
      </x:c>
    </x:row>
    <x:row r="193" ht="15" hidden="0" customHeight="1">
      <x:c r="A193" s="2" t="str">
        <x:v>SG-MC-02-2025062708</x:v>
      </x:c>
      <x:c r="B193" s="2" t="str">
        <x:v>2025-06-27 08:00:00</x:v>
      </x:c>
      <x:c r="C193" s="2" t="str">
        <x:v>MC-02</x:v>
      </x:c>
      <x:c r="D193" s="2" t="str">
        <x:v>PRD-A</x:v>
      </x:c>
      <x:c r="E193" s="2" t="n">
        <x:v>25.018441643707952</x:v>
      </x:c>
      <x:c r="F193" s="2" t="n">
        <x:v>0.0776404303435569</x:v>
      </x:c>
      <x:c r="G193" s="2" t="n">
        <x:v>5</x:v>
      </x:c>
      <x:c r="H193" s="2" t="n">
        <x:v>24.98096531359448</x:v>
      </x:c>
      <x:c r="I193" s="2" t="n">
        <x:v>25.029746559290437</x:v>
      </x:c>
      <x:c r="J193" s="2" t="n">
        <x:v>25.07852780498639</x:v>
      </x:c>
      <x:c r="K193" s="2" t="n">
        <x:v>0</x:v>
      </x:c>
      <x:c r="L193" s="2" t="n">
        <x:v>0.0845428868214142</x:v>
      </x:c>
      <x:c r="M193" s="2" t="n">
        <x:v>0.1787236627404697</x:v>
      </x:c>
      <x:c r="N193" s="14" t="b">
        <x:v>0</x:v>
      </x:c>
      <x:c r="O193" s="14" t="b">
        <x:v>0</x:v>
      </x:c>
      <x:c r="P193" s="14" t="b">
        <x:v>0</x:v>
      </x:c>
      <x:c r="Q193" s="14" t="b">
        <x:v>0</x:v>
      </x:c>
      <x:c r="R193" s="14" t="b">
        <x:v>0</x:v>
      </x:c>
      <x:c r="S193" s="14" t="b">
        <x:v>0</x:v>
      </x:c>
    </x:row>
    <x:row r="194" ht="15" hidden="0" customHeight="1">
      <x:c r="A194" s="2" t="str">
        <x:v>SG-MC-06-2025062708</x:v>
      </x:c>
      <x:c r="B194" s="2" t="str">
        <x:v>2025-06-27 08:00:00</x:v>
      </x:c>
      <x:c r="C194" s="2" t="str">
        <x:v>MC-06</x:v>
      </x:c>
      <x:c r="D194" s="2" t="str">
        <x:v>PRD-A</x:v>
      </x:c>
      <x:c r="E194" s="2" t="n">
        <x:v>25.02048979003013</x:v>
      </x:c>
      <x:c r="F194" s="2" t="n">
        <x:v>0.0628191372180566</x:v>
      </x:c>
      <x:c r="G194" s="2" t="n">
        <x:v>5</x:v>
      </x:c>
      <x:c r="H194" s="2" t="n">
        <x:v>24.98096531359448</x:v>
      </x:c>
      <x:c r="I194" s="2" t="n">
        <x:v>25.029746559290437</x:v>
      </x:c>
      <x:c r="J194" s="2" t="n">
        <x:v>25.07852780498639</x:v>
      </x:c>
      <x:c r="K194" s="2" t="n">
        <x:v>0</x:v>
      </x:c>
      <x:c r="L194" s="2" t="n">
        <x:v>0.0845428868214142</x:v>
      </x:c>
      <x:c r="M194" s="2" t="n">
        <x:v>0.1787236627404697</x:v>
      </x:c>
      <x:c r="N194" s="14" t="b">
        <x:v>0</x:v>
      </x:c>
      <x:c r="O194" s="14" t="b">
        <x:v>0</x:v>
      </x:c>
      <x:c r="P194" s="14" t="b">
        <x:v>0</x:v>
      </x:c>
      <x:c r="Q194" s="14" t="b">
        <x:v>0</x:v>
      </x:c>
      <x:c r="R194" s="14" t="b">
        <x:v>0</x:v>
      </x:c>
      <x:c r="S194" s="14" t="b">
        <x:v>0</x:v>
      </x:c>
    </x:row>
    <x:row r="195" ht="15" hidden="0" customHeight="1">
      <x:c r="A195" s="2" t="str">
        <x:v>SG-MC-08-2025062708</x:v>
      </x:c>
      <x:c r="B195" s="2" t="str">
        <x:v>2025-06-27 08:00:00</x:v>
      </x:c>
      <x:c r="C195" s="2" t="str">
        <x:v>MC-08</x:v>
      </x:c>
      <x:c r="D195" s="2" t="str">
        <x:v>PRD-C</x:v>
      </x:c>
      <x:c r="E195" s="2" t="n">
        <x:v>42.03514918968762</x:v>
      </x:c>
      <x:c r="F195" s="2" t="n">
        <x:v>0.1467576418669622</x:v>
      </x:c>
      <x:c r="G195" s="2" t="n">
        <x:v>5</x:v>
      </x:c>
      <x:c r="H195" s="2" t="n">
        <x:v>41.98128274145005</x:v>
      </x:c>
      <x:c r="I195" s="2" t="n">
        <x:v>42.03038150785648</x:v>
      </x:c>
      <x:c r="J195" s="2" t="n">
        <x:v>42.0794802742629</x:v>
      </x:c>
      <x:c r="K195" s="2" t="n">
        <x:v>0</x:v>
      </x:c>
      <x:c r="L195" s="2" t="n">
        <x:v>0.0850931826801104</x:v>
      </x:c>
      <x:c r="M195" s="2" t="n">
        <x:v>0.1798869881857533</x:v>
      </x:c>
      <x:c r="N195" s="14" t="b">
        <x:v>0</x:v>
      </x:c>
      <x:c r="O195" s="14" t="b">
        <x:v>0</x:v>
      </x:c>
      <x:c r="P195" s="14" t="b">
        <x:v>0</x:v>
      </x:c>
      <x:c r="Q195" s="14" t="b">
        <x:v>0</x:v>
      </x:c>
      <x:c r="R195" s="14" t="b">
        <x:v>0</x:v>
      </x:c>
      <x:c r="S195" s="14" t="b">
        <x:v>0</x:v>
      </x:c>
    </x:row>
    <x:row r="196" ht="15" hidden="0" customHeight="1">
      <x:c r="A196" s="2" t="str">
        <x:v>SG-MC-12-2025062708</x:v>
      </x:c>
      <x:c r="B196" s="2" t="str">
        <x:v>2025-06-27 08:00:00</x:v>
      </x:c>
      <x:c r="C196" s="2" t="str">
        <x:v>MC-12</x:v>
      </x:c>
      <x:c r="D196" s="2" t="str">
        <x:v>PRD-C</x:v>
      </x:c>
      <x:c r="E196" s="2" t="n">
        <x:v>42.02573954269998</x:v>
      </x:c>
      <x:c r="F196" s="2" t="n">
        <x:v>0.0895519324250813</x:v>
      </x:c>
      <x:c r="G196" s="2" t="n">
        <x:v>5</x:v>
      </x:c>
      <x:c r="H196" s="2" t="n">
        <x:v>41.98128274145005</x:v>
      </x:c>
      <x:c r="I196" s="2" t="n">
        <x:v>42.03038150785648</x:v>
      </x:c>
      <x:c r="J196" s="2" t="n">
        <x:v>42.0794802742629</x:v>
      </x:c>
      <x:c r="K196" s="2" t="n">
        <x:v>0</x:v>
      </x:c>
      <x:c r="L196" s="2" t="n">
        <x:v>0.0850931826801104</x:v>
      </x:c>
      <x:c r="M196" s="2" t="n">
        <x:v>0.1798869881857533</x:v>
      </x:c>
      <x:c r="N196" s="14" t="b">
        <x:v>0</x:v>
      </x:c>
      <x:c r="O196" s="14" t="b">
        <x:v>0</x:v>
      </x:c>
      <x:c r="P196" s="14" t="b">
        <x:v>0</x:v>
      </x:c>
      <x:c r="Q196" s="14" t="b">
        <x:v>0</x:v>
      </x:c>
      <x:c r="R196" s="14" t="b">
        <x:v>0</x:v>
      </x:c>
      <x:c r="S196" s="14" t="b">
        <x:v>0</x:v>
      </x:c>
    </x:row>
    <x:row r="197" ht="15" hidden="0" customHeight="1">
      <x:c r="A197" s="2" t="str">
        <x:v>SG-MC-05-2025062708</x:v>
      </x:c>
      <x:c r="B197" s="2" t="str">
        <x:v>2025-06-27 08:00:00</x:v>
      </x:c>
      <x:c r="C197" s="2" t="str">
        <x:v>MC-05</x:v>
      </x:c>
      <x:c r="D197" s="2" t="str">
        <x:v>PRD-D</x:v>
      </x:c>
      <x:c r="E197" s="2" t="n">
        <x:v>60.03275178836761</x:v>
      </x:c>
      <x:c r="F197" s="2" t="n">
        <x:v>0.1040090995765865</x:v>
      </x:c>
      <x:c r="G197" s="2" t="n">
        <x:v>5</x:v>
      </x:c>
      <x:c r="H197" s="2" t="n">
        <x:v>59.9812332134637</x:v>
      </x:c>
      <x:c r="I197" s="2" t="n">
        <x:v>60.03007765222271</x:v>
      </x:c>
      <x:c r="J197" s="2" t="n">
        <x:v>60.07892209098171</x:v>
      </x:c>
      <x:c r="K197" s="2" t="n">
        <x:v>0</x:v>
      </x:c>
      <x:c r="L197" s="2" t="n">
        <x:v>0.0846524068613621</x:v>
      </x:c>
      <x:c r="M197" s="2" t="n">
        <x:v>0.1789551881049196</x:v>
      </x:c>
      <x:c r="N197" s="14" t="b">
        <x:v>0</x:v>
      </x:c>
      <x:c r="O197" s="14" t="b">
        <x:v>0</x:v>
      </x:c>
      <x:c r="P197" s="14" t="b">
        <x:v>0</x:v>
      </x:c>
      <x:c r="Q197" s="14" t="b">
        <x:v>0</x:v>
      </x:c>
      <x:c r="R197" s="14" t="b">
        <x:v>0</x:v>
      </x:c>
      <x:c r="S197" s="14" t="b">
        <x:v>0</x:v>
      </x:c>
    </x:row>
    <x:row r="198" ht="15" hidden="0" customHeight="1">
      <x:c r="A198" s="2" t="str">
        <x:v>SG-MC-09-2025062708</x:v>
      </x:c>
      <x:c r="B198" s="2" t="str">
        <x:v>2025-06-27 08:00:00</x:v>
      </x:c>
      <x:c r="C198" s="2" t="str">
        <x:v>MC-09</x:v>
      </x:c>
      <x:c r="D198" s="2" t="str">
        <x:v>PRD-D</x:v>
      </x:c>
      <x:c r="E198" s="2" t="n">
        <x:v>60.07752104418313</x:v>
      </x:c>
      <x:c r="F198" s="2" t="n">
        <x:v>0.1266339269920706</x:v>
      </x:c>
      <x:c r="G198" s="2" t="n">
        <x:v>5</x:v>
      </x:c>
      <x:c r="H198" s="2" t="n">
        <x:v>59.9812332134637</x:v>
      </x:c>
      <x:c r="I198" s="2" t="n">
        <x:v>60.03007765222271</x:v>
      </x:c>
      <x:c r="J198" s="2" t="n">
        <x:v>60.07892209098171</x:v>
      </x:c>
      <x:c r="K198" s="2" t="n">
        <x:v>0</x:v>
      </x:c>
      <x:c r="L198" s="2" t="n">
        <x:v>0.0846524068613621</x:v>
      </x:c>
      <x:c r="M198" s="2" t="n">
        <x:v>0.1789551881049196</x:v>
      </x:c>
      <x:c r="N198" s="14" t="b">
        <x:v>0</x:v>
      </x:c>
      <x:c r="O198" s="14" t="b">
        <x:v>0</x:v>
      </x:c>
      <x:c r="P198" s="14" t="b">
        <x:v>0</x:v>
      </x:c>
      <x:c r="Q198" s="14" t="b">
        <x:v>0</x:v>
      </x:c>
      <x:c r="R198" s="14" t="b">
        <x:v>0</x:v>
      </x:c>
      <x:c r="S198" s="14" t="b">
        <x:v>0</x:v>
      </x:c>
    </x:row>
    <x:row r="199" ht="15" hidden="0" customHeight="1">
      <x:c r="A199" s="2" t="str">
        <x:v>SG-MC-01-2025062708</x:v>
      </x:c>
      <x:c r="B199" s="2" t="str">
        <x:v>2025-06-27 08:00:00</x:v>
      </x:c>
      <x:c r="C199" s="2" t="str">
        <x:v>MC-01</x:v>
      </x:c>
      <x:c r="D199" s="2" t="str">
        <x:v>PRD-D</x:v>
      </x:c>
      <x:c r="E199" s="2" t="n">
        <x:v>60.0018890236464</x:v>
      </x:c>
      <x:c r="F199" s="2" t="n">
        <x:v>0.0937931954672564</x:v>
      </x:c>
      <x:c r="G199" s="2" t="n">
        <x:v>5</x:v>
      </x:c>
      <x:c r="H199" s="2" t="n">
        <x:v>59.9812332134637</x:v>
      </x:c>
      <x:c r="I199" s="2" t="n">
        <x:v>60.03007765222271</x:v>
      </x:c>
      <x:c r="J199" s="2" t="n">
        <x:v>60.07892209098171</x:v>
      </x:c>
      <x:c r="K199" s="2" t="n">
        <x:v>0</x:v>
      </x:c>
      <x:c r="L199" s="2" t="n">
        <x:v>0.0846524068613621</x:v>
      </x:c>
      <x:c r="M199" s="2" t="n">
        <x:v>0.1789551881049196</x:v>
      </x:c>
      <x:c r="N199" s="14" t="b">
        <x:v>0</x:v>
      </x:c>
      <x:c r="O199" s="14" t="b">
        <x:v>0</x:v>
      </x:c>
      <x:c r="P199" s="14" t="b">
        <x:v>0</x:v>
      </x:c>
      <x:c r="Q199" s="14" t="b">
        <x:v>0</x:v>
      </x:c>
      <x:c r="R199" s="14" t="b">
        <x:v>0</x:v>
      </x:c>
      <x:c r="S199" s="14" t="b">
        <x:v>0</x:v>
      </x:c>
    </x:row>
    <x:row r="200" ht="15" hidden="0" customHeight="1">
      <x:c r="A200" s="2" t="str">
        <x:v>SG-MC-04-2025062708</x:v>
      </x:c>
      <x:c r="B200" s="2" t="str">
        <x:v>2025-06-27 08:00:00</x:v>
      </x:c>
      <x:c r="C200" s="2" t="str">
        <x:v>MC-04</x:v>
      </x:c>
      <x:c r="D200" s="2" t="str">
        <x:v>PRD-C</x:v>
      </x:c>
      <x:c r="E200" s="2" t="n">
        <x:v>42.039829957450905</x:v>
      </x:c>
      <x:c r="F200" s="2" t="n">
        <x:v>0.1190674351982181</x:v>
      </x:c>
      <x:c r="G200" s="2" t="n">
        <x:v>5</x:v>
      </x:c>
      <x:c r="H200" s="2" t="n">
        <x:v>41.98128274145005</x:v>
      </x:c>
      <x:c r="I200" s="2" t="n">
        <x:v>42.03038150785648</x:v>
      </x:c>
      <x:c r="J200" s="2" t="n">
        <x:v>42.0794802742629</x:v>
      </x:c>
      <x:c r="K200" s="2" t="n">
        <x:v>0</x:v>
      </x:c>
      <x:c r="L200" s="2" t="n">
        <x:v>0.0850931826801104</x:v>
      </x:c>
      <x:c r="M200" s="2" t="n">
        <x:v>0.1798869881857533</x:v>
      </x:c>
      <x:c r="N200" s="14" t="b">
        <x:v>0</x:v>
      </x:c>
      <x:c r="O200" s="14" t="b">
        <x:v>0</x:v>
      </x:c>
      <x:c r="P200" s="14" t="b">
        <x:v>0</x:v>
      </x:c>
      <x:c r="Q200" s="14" t="b">
        <x:v>0</x:v>
      </x:c>
      <x:c r="R200" s="14" t="b">
        <x:v>0</x:v>
      </x:c>
      <x:c r="S200" s="14" t="b">
        <x:v>0</x:v>
      </x:c>
    </x:row>
    <x:row r="201" ht="15" hidden="0" customHeight="1">
      <x:c r="A201" s="2" t="str">
        <x:v>SG-MC-10-2025062708</x:v>
      </x:c>
      <x:c r="B201" s="2" t="str">
        <x:v>2025-06-27 08:00:00</x:v>
      </x:c>
      <x:c r="C201" s="2" t="str">
        <x:v>MC-10</x:v>
      </x:c>
      <x:c r="D201" s="2" t="str">
        <x:v>PRD-A</x:v>
      </x:c>
      <x:c r="E201" s="2" t="n">
        <x:v>25.043857484863395</x:v>
      </x:c>
      <x:c r="F201" s="2" t="n">
        <x:v>0.0543542614377265</x:v>
      </x:c>
      <x:c r="G201" s="2" t="n">
        <x:v>5</x:v>
      </x:c>
      <x:c r="H201" s="2" t="n">
        <x:v>24.98096531359448</x:v>
      </x:c>
      <x:c r="I201" s="2" t="n">
        <x:v>25.029746559290437</x:v>
      </x:c>
      <x:c r="J201" s="2" t="n">
        <x:v>25.07852780498639</x:v>
      </x:c>
      <x:c r="K201" s="2" t="n">
        <x:v>0</x:v>
      </x:c>
      <x:c r="L201" s="2" t="n">
        <x:v>0.0845428868214142</x:v>
      </x:c>
      <x:c r="M201" s="2" t="n">
        <x:v>0.1787236627404697</x:v>
      </x:c>
      <x:c r="N201" s="14" t="b">
        <x:v>0</x:v>
      </x:c>
      <x:c r="O201" s="14" t="b">
        <x:v>0</x:v>
      </x:c>
      <x:c r="P201" s="14" t="b">
        <x:v>0</x:v>
      </x:c>
      <x:c r="Q201" s="14" t="b">
        <x:v>0</x:v>
      </x:c>
      <x:c r="R201" s="14" t="b">
        <x:v>0</x:v>
      </x:c>
      <x:c r="S201" s="14" t="b">
        <x:v>0</x:v>
      </x:c>
    </x:row>
    <x:row r="202" ht="15" hidden="0" customHeight="1">
      <x:c r="A202" s="2" t="str">
        <x:v>SG-MC-12-2025062716</x:v>
      </x:c>
      <x:c r="B202" s="2" t="str">
        <x:v>2025-06-27 16:00:00</x:v>
      </x:c>
      <x:c r="C202" s="2" t="str">
        <x:v>MC-12</x:v>
      </x:c>
      <x:c r="D202" s="2" t="str">
        <x:v>PRD-C</x:v>
      </x:c>
      <x:c r="E202" s="2" t="n">
        <x:v>42.028701495713015</x:v>
      </x:c>
      <x:c r="F202" s="2" t="n">
        <x:v>0.0941968539982269</x:v>
      </x:c>
      <x:c r="G202" s="2" t="n">
        <x:v>5</x:v>
      </x:c>
      <x:c r="H202" s="2" t="n">
        <x:v>41.98128274145005</x:v>
      </x:c>
      <x:c r="I202" s="2" t="n">
        <x:v>42.03038150785648</x:v>
      </x:c>
      <x:c r="J202" s="2" t="n">
        <x:v>42.0794802742629</x:v>
      </x:c>
      <x:c r="K202" s="2" t="n">
        <x:v>0</x:v>
      </x:c>
      <x:c r="L202" s="2" t="n">
        <x:v>0.0850931826801104</x:v>
      </x:c>
      <x:c r="M202" s="2" t="n">
        <x:v>0.1798869881857533</x:v>
      </x:c>
      <x:c r="N202" s="14" t="b">
        <x:v>0</x:v>
      </x:c>
      <x:c r="O202" s="14" t="b">
        <x:v>0</x:v>
      </x:c>
      <x:c r="P202" s="14" t="b">
        <x:v>0</x:v>
      </x:c>
      <x:c r="Q202" s="14" t="b">
        <x:v>0</x:v>
      </x:c>
      <x:c r="R202" s="14" t="b">
        <x:v>0</x:v>
      </x:c>
      <x:c r="S202" s="14" t="b">
        <x:v>0</x:v>
      </x:c>
    </x:row>
    <x:row r="203" ht="15" hidden="0" customHeight="1">
      <x:c r="A203" s="2" t="str">
        <x:v>SG-MC-08-2025062716</x:v>
      </x:c>
      <x:c r="B203" s="2" t="str">
        <x:v>2025-06-27 16:00:00</x:v>
      </x:c>
      <x:c r="C203" s="2" t="str">
        <x:v>MC-08</x:v>
      </x:c>
      <x:c r="D203" s="2" t="str">
        <x:v>PRD-C</x:v>
      </x:c>
      <x:c r="E203" s="2" t="n">
        <x:v>42.01887547994746</x:v>
      </x:c>
      <x:c r="F203" s="2" t="n">
        <x:v>0.0242381654526226</x:v>
      </x:c>
      <x:c r="G203" s="2" t="n">
        <x:v>5</x:v>
      </x:c>
      <x:c r="H203" s="2" t="n">
        <x:v>41.98128274145005</x:v>
      </x:c>
      <x:c r="I203" s="2" t="n">
        <x:v>42.03038150785648</x:v>
      </x:c>
      <x:c r="J203" s="2" t="n">
        <x:v>42.0794802742629</x:v>
      </x:c>
      <x:c r="K203" s="2" t="n">
        <x:v>0</x:v>
      </x:c>
      <x:c r="L203" s="2" t="n">
        <x:v>0.0850931826801104</x:v>
      </x:c>
      <x:c r="M203" s="2" t="n">
        <x:v>0.1798869881857533</x:v>
      </x:c>
      <x:c r="N203" s="14" t="b">
        <x:v>0</x:v>
      </x:c>
      <x:c r="O203" s="14" t="b">
        <x:v>0</x:v>
      </x:c>
      <x:c r="P203" s="14" t="b">
        <x:v>0</x:v>
      </x:c>
      <x:c r="Q203" s="14" t="b">
        <x:v>0</x:v>
      </x:c>
      <x:c r="R203" s="14" t="b">
        <x:v>0</x:v>
      </x:c>
      <x:c r="S203" s="14" t="b">
        <x:v>0</x:v>
      </x:c>
    </x:row>
    <x:row r="204" ht="15" hidden="0" customHeight="1">
      <x:c r="A204" s="2" t="str">
        <x:v>SG-MC-04-2025062716</x:v>
      </x:c>
      <x:c r="B204" s="2" t="str">
        <x:v>2025-06-27 16:00:00</x:v>
      </x:c>
      <x:c r="C204" s="2" t="str">
        <x:v>MC-04</x:v>
      </x:c>
      <x:c r="D204" s="2" t="str">
        <x:v>PRD-C</x:v>
      </x:c>
      <x:c r="E204" s="2" t="n">
        <x:v>42.06326562366381</x:v>
      </x:c>
      <x:c r="F204" s="2" t="n">
        <x:v>0.0967337325378565</x:v>
      </x:c>
      <x:c r="G204" s="2" t="n">
        <x:v>5</x:v>
      </x:c>
      <x:c r="H204" s="2" t="n">
        <x:v>41.98128274145005</x:v>
      </x:c>
      <x:c r="I204" s="2" t="n">
        <x:v>42.03038150785648</x:v>
      </x:c>
      <x:c r="J204" s="2" t="n">
        <x:v>42.0794802742629</x:v>
      </x:c>
      <x:c r="K204" s="2" t="n">
        <x:v>0</x:v>
      </x:c>
      <x:c r="L204" s="2" t="n">
        <x:v>0.0850931826801104</x:v>
      </x:c>
      <x:c r="M204" s="2" t="n">
        <x:v>0.1798869881857533</x:v>
      </x:c>
      <x:c r="N204" s="14" t="b">
        <x:v>0</x:v>
      </x:c>
      <x:c r="O204" s="14" t="b">
        <x:v>0</x:v>
      </x:c>
      <x:c r="P204" s="14" t="b">
        <x:v>0</x:v>
      </x:c>
      <x:c r="Q204" s="14" t="b">
        <x:v>0</x:v>
      </x:c>
      <x:c r="R204" s="14" t="b">
        <x:v>0</x:v>
      </x:c>
      <x:c r="S204" s="14" t="b">
        <x:v>0</x:v>
      </x:c>
    </x:row>
    <x:row r="205" ht="15" hidden="0" customHeight="1">
      <x:c r="A205" s="2" t="str">
        <x:v>SG-MC-01-2025062716</x:v>
      </x:c>
      <x:c r="B205" s="2" t="str">
        <x:v>2025-06-27 16:00:00</x:v>
      </x:c>
      <x:c r="C205" s="2" t="str">
        <x:v>MC-01</x:v>
      </x:c>
      <x:c r="D205" s="2" t="str">
        <x:v>PRD-D</x:v>
      </x:c>
      <x:c r="E205" s="2" t="n">
        <x:v>59.99569515968318</x:v>
      </x:c>
      <x:c r="F205" s="2" t="n">
        <x:v>0.0548980756495183</x:v>
      </x:c>
      <x:c r="G205" s="2" t="n">
        <x:v>5</x:v>
      </x:c>
      <x:c r="H205" s="2" t="n">
        <x:v>59.9812332134637</x:v>
      </x:c>
      <x:c r="I205" s="2" t="n">
        <x:v>60.03007765222271</x:v>
      </x:c>
      <x:c r="J205" s="2" t="n">
        <x:v>60.07892209098171</x:v>
      </x:c>
      <x:c r="K205" s="2" t="n">
        <x:v>0</x:v>
      </x:c>
      <x:c r="L205" s="2" t="n">
        <x:v>0.0846524068613621</x:v>
      </x:c>
      <x:c r="M205" s="2" t="n">
        <x:v>0.1789551881049196</x:v>
      </x:c>
      <x:c r="N205" s="14" t="b">
        <x:v>0</x:v>
      </x:c>
      <x:c r="O205" s="14" t="b">
        <x:v>0</x:v>
      </x:c>
      <x:c r="P205" s="14" t="b">
        <x:v>0</x:v>
      </x:c>
      <x:c r="Q205" s="14" t="b">
        <x:v>0</x:v>
      </x:c>
      <x:c r="R205" s="14" t="b">
        <x:v>0</x:v>
      </x:c>
      <x:c r="S205" s="14" t="b">
        <x:v>0</x:v>
      </x:c>
    </x:row>
    <x:row r="206" ht="15" hidden="0" customHeight="1">
      <x:c r="A206" s="2" t="str">
        <x:v>SG-MC-09-2025062716</x:v>
      </x:c>
      <x:c r="B206" s="2" t="str">
        <x:v>2025-06-27 16:00:00</x:v>
      </x:c>
      <x:c r="C206" s="2" t="str">
        <x:v>MC-09</x:v>
      </x:c>
      <x:c r="D206" s="2" t="str">
        <x:v>PRD-D</x:v>
      </x:c>
      <x:c r="E206" s="2" t="n">
        <x:v>60.03657692989786</x:v>
      </x:c>
      <x:c r="F206" s="2" t="n">
        <x:v>0.1545721288478816</x:v>
      </x:c>
      <x:c r="G206" s="2" t="n">
        <x:v>5</x:v>
      </x:c>
      <x:c r="H206" s="2" t="n">
        <x:v>59.9812332134637</x:v>
      </x:c>
      <x:c r="I206" s="2" t="n">
        <x:v>60.03007765222271</x:v>
      </x:c>
      <x:c r="J206" s="2" t="n">
        <x:v>60.07892209098171</x:v>
      </x:c>
      <x:c r="K206" s="2" t="n">
        <x:v>0</x:v>
      </x:c>
      <x:c r="L206" s="2" t="n">
        <x:v>0.0846524068613621</x:v>
      </x:c>
      <x:c r="M206" s="2" t="n">
        <x:v>0.1789551881049196</x:v>
      </x:c>
      <x:c r="N206" s="14" t="b">
        <x:v>0</x:v>
      </x:c>
      <x:c r="O206" s="14" t="b">
        <x:v>0</x:v>
      </x:c>
      <x:c r="P206" s="14" t="b">
        <x:v>0</x:v>
      </x:c>
      <x:c r="Q206" s="14" t="b">
        <x:v>0</x:v>
      </x:c>
      <x:c r="R206" s="14" t="b">
        <x:v>0</x:v>
      </x:c>
      <x:c r="S206" s="14" t="b">
        <x:v>0</x:v>
      </x:c>
    </x:row>
    <x:row r="207" ht="15" hidden="0" customHeight="1">
      <x:c r="A207" s="2" t="str">
        <x:v>SG-MC-02-2025062716</x:v>
      </x:c>
      <x:c r="B207" s="2" t="str">
        <x:v>2025-06-27 16:00:00</x:v>
      </x:c>
      <x:c r="C207" s="2" t="str">
        <x:v>MC-02</x:v>
      </x:c>
      <x:c r="D207" s="2" t="str">
        <x:v>PRD-A</x:v>
      </x:c>
      <x:c r="E207" s="2" t="n">
        <x:v>25.04571945097708</x:v>
      </x:c>
      <x:c r="F207" s="2" t="n">
        <x:v>0.0805428561900249</x:v>
      </x:c>
      <x:c r="G207" s="2" t="n">
        <x:v>5</x:v>
      </x:c>
      <x:c r="H207" s="2" t="n">
        <x:v>24.98096531359448</x:v>
      </x:c>
      <x:c r="I207" s="2" t="n">
        <x:v>25.029746559290437</x:v>
      </x:c>
      <x:c r="J207" s="2" t="n">
        <x:v>25.07852780498639</x:v>
      </x:c>
      <x:c r="K207" s="2" t="n">
        <x:v>0</x:v>
      </x:c>
      <x:c r="L207" s="2" t="n">
        <x:v>0.0845428868214142</x:v>
      </x:c>
      <x:c r="M207" s="2" t="n">
        <x:v>0.1787236627404697</x:v>
      </x:c>
      <x:c r="N207" s="14" t="b">
        <x:v>0</x:v>
      </x:c>
      <x:c r="O207" s="14" t="b">
        <x:v>0</x:v>
      </x:c>
      <x:c r="P207" s="14" t="b">
        <x:v>0</x:v>
      </x:c>
      <x:c r="Q207" s="14" t="b">
        <x:v>0</x:v>
      </x:c>
      <x:c r="R207" s="14" t="b">
        <x:v>0</x:v>
      </x:c>
      <x:c r="S207" s="14" t="b">
        <x:v>0</x:v>
      </x:c>
    </x:row>
    <x:row r="208" ht="15" hidden="0" customHeight="1">
      <x:c r="A208" s="2" t="str">
        <x:v>SG-MC-06-2025062716</x:v>
      </x:c>
      <x:c r="B208" s="2" t="str">
        <x:v>2025-06-27 16:00:00</x:v>
      </x:c>
      <x:c r="C208" s="2" t="str">
        <x:v>MC-06</x:v>
      </x:c>
      <x:c r="D208" s="2" t="str">
        <x:v>PRD-A</x:v>
      </x:c>
      <x:c r="E208" s="2" t="n">
        <x:v>25.00260152784839</x:v>
      </x:c>
      <x:c r="F208" s="2" t="n">
        <x:v>0.1011915044072289</x:v>
      </x:c>
      <x:c r="G208" s="2" t="n">
        <x:v>5</x:v>
      </x:c>
      <x:c r="H208" s="2" t="n">
        <x:v>24.98096531359448</x:v>
      </x:c>
      <x:c r="I208" s="2" t="n">
        <x:v>25.029746559290437</x:v>
      </x:c>
      <x:c r="J208" s="2" t="n">
        <x:v>25.07852780498639</x:v>
      </x:c>
      <x:c r="K208" s="2" t="n">
        <x:v>0</x:v>
      </x:c>
      <x:c r="L208" s="2" t="n">
        <x:v>0.0845428868214142</x:v>
      </x:c>
      <x:c r="M208" s="2" t="n">
        <x:v>0.1787236627404697</x:v>
      </x:c>
      <x:c r="N208" s="14" t="b">
        <x:v>0</x:v>
      </x:c>
      <x:c r="O208" s="14" t="b">
        <x:v>0</x:v>
      </x:c>
      <x:c r="P208" s="14" t="b">
        <x:v>0</x:v>
      </x:c>
      <x:c r="Q208" s="14" t="b">
        <x:v>0</x:v>
      </x:c>
      <x:c r="R208" s="14" t="b">
        <x:v>0</x:v>
      </x:c>
      <x:c r="S208" s="14" t="b">
        <x:v>0</x:v>
      </x:c>
    </x:row>
    <x:row r="209" ht="15" hidden="0" customHeight="1">
      <x:c r="A209" s="2" t="str">
        <x:v>SG-MC-10-2025062716</x:v>
      </x:c>
      <x:c r="B209" s="2" t="str">
        <x:v>2025-06-27 16:00:00</x:v>
      </x:c>
      <x:c r="C209" s="2" t="str">
        <x:v>MC-10</x:v>
      </x:c>
      <x:c r="D209" s="2" t="str">
        <x:v>PRD-A</x:v>
      </x:c>
      <x:c r="E209" s="2" t="n">
        <x:v>25.05769902031029</x:v>
      </x:c>
      <x:c r="F209" s="2" t="n">
        <x:v>0.0434974623924269</x:v>
      </x:c>
      <x:c r="G209" s="2" t="n">
        <x:v>5</x:v>
      </x:c>
      <x:c r="H209" s="2" t="n">
        <x:v>24.98096531359448</x:v>
      </x:c>
      <x:c r="I209" s="2" t="n">
        <x:v>25.029746559290437</x:v>
      </x:c>
      <x:c r="J209" s="2" t="n">
        <x:v>25.07852780498639</x:v>
      </x:c>
      <x:c r="K209" s="2" t="n">
        <x:v>0</x:v>
      </x:c>
      <x:c r="L209" s="2" t="n">
        <x:v>0.0845428868214142</x:v>
      </x:c>
      <x:c r="M209" s="2" t="n">
        <x:v>0.1787236627404697</x:v>
      </x:c>
      <x:c r="N209" s="14" t="b">
        <x:v>0</x:v>
      </x:c>
      <x:c r="O209" s="14" t="b">
        <x:v>0</x:v>
      </x:c>
      <x:c r="P209" s="14" t="b">
        <x:v>0</x:v>
      </x:c>
      <x:c r="Q209" s="14" t="b">
        <x:v>0</x:v>
      </x:c>
      <x:c r="R209" s="14" t="b">
        <x:v>0</x:v>
      </x:c>
      <x:c r="S209" s="14" t="b">
        <x:v>0</x:v>
      </x:c>
    </x:row>
    <x:row r="210" ht="15" hidden="0" customHeight="1">
      <x:c r="A210" s="2" t="str">
        <x:v>SG-MC-03-2025062716</x:v>
      </x:c>
      <x:c r="B210" s="2" t="str">
        <x:v>2025-06-27 16:00:00</x:v>
      </x:c>
      <x:c r="C210" s="2" t="str">
        <x:v>MC-03</x:v>
      </x:c>
      <x:c r="D210" s="2" t="str">
        <x:v>PRD-B</x:v>
      </x:c>
      <x:c r="E210" s="2" t="n">
        <x:v>80.02998499847682</x:v>
      </x:c>
      <x:c r="F210" s="2" t="n">
        <x:v>0.0872409721007017</x:v>
      </x:c>
      <x:c r="G210" s="2" t="n">
        <x:v>5</x:v>
      </x:c>
      <x:c r="H210" s="2" t="n">
        <x:v>79.98133298727322</x:v>
      </x:c>
      <x:c r="I210" s="2" t="n">
        <x:v>80.02998001088412</x:v>
      </x:c>
      <x:c r="J210" s="2" t="n">
        <x:v>80.07862703449501</x:v>
      </x:c>
      <x:c r="K210" s="2" t="n">
        <x:v>0</x:v>
      </x:c>
      <x:c r="L210" s="2" t="n">
        <x:v>0.0843102662233807</x:v>
      </x:c>
      <x:c r="M210" s="2" t="n">
        <x:v>0.1782319027962268</x:v>
      </x:c>
      <x:c r="N210" s="14" t="b">
        <x:v>0</x:v>
      </x:c>
      <x:c r="O210" s="14" t="b">
        <x:v>0</x:v>
      </x:c>
      <x:c r="P210" s="14" t="b">
        <x:v>0</x:v>
      </x:c>
      <x:c r="Q210" s="14" t="b">
        <x:v>0</x:v>
      </x:c>
      <x:c r="R210" s="14" t="b">
        <x:v>0</x:v>
      </x:c>
      <x:c r="S210" s="14" t="b">
        <x:v>0</x:v>
      </x:c>
    </x:row>
    <x:row r="211" ht="15" hidden="0" customHeight="1">
      <x:c r="A211" s="2" t="str">
        <x:v>SG-MC-07-2025062716</x:v>
      </x:c>
      <x:c r="B211" s="2" t="str">
        <x:v>2025-06-27 16:00:00</x:v>
      </x:c>
      <x:c r="C211" s="2" t="str">
        <x:v>MC-07</x:v>
      </x:c>
      <x:c r="D211" s="2" t="str">
        <x:v>PRD-B</x:v>
      </x:c>
      <x:c r="E211" s="2" t="n">
        <x:v>80.03055584828158</x:v>
      </x:c>
      <x:c r="F211" s="2" t="n">
        <x:v>0.1356226935254483</x:v>
      </x:c>
      <x:c r="G211" s="2" t="n">
        <x:v>5</x:v>
      </x:c>
      <x:c r="H211" s="2" t="n">
        <x:v>79.98133298727322</x:v>
      </x:c>
      <x:c r="I211" s="2" t="n">
        <x:v>80.02998001088412</x:v>
      </x:c>
      <x:c r="J211" s="2" t="n">
        <x:v>80.07862703449501</x:v>
      </x:c>
      <x:c r="K211" s="2" t="n">
        <x:v>0</x:v>
      </x:c>
      <x:c r="L211" s="2" t="n">
        <x:v>0.0843102662233807</x:v>
      </x:c>
      <x:c r="M211" s="2" t="n">
        <x:v>0.1782319027962268</x:v>
      </x:c>
      <x:c r="N211" s="14" t="b">
        <x:v>0</x:v>
      </x:c>
      <x:c r="O211" s="14" t="b">
        <x:v>0</x:v>
      </x:c>
      <x:c r="P211" s="14" t="b">
        <x:v>0</x:v>
      </x:c>
      <x:c r="Q211" s="14" t="b">
        <x:v>0</x:v>
      </x:c>
      <x:c r="R211" s="14" t="b">
        <x:v>0</x:v>
      </x:c>
      <x:c r="S211" s="14" t="b">
        <x:v>0</x:v>
      </x:c>
    </x:row>
    <x:row r="212" ht="15" hidden="0" customHeight="1">
      <x:c r="A212" s="2" t="str">
        <x:v>SG-MC-11-2025062716</x:v>
      </x:c>
      <x:c r="B212" s="2" t="str">
        <x:v>2025-06-27 16:00:00</x:v>
      </x:c>
      <x:c r="C212" s="2" t="str">
        <x:v>MC-11</x:v>
      </x:c>
      <x:c r="D212" s="2" t="str">
        <x:v>PRD-B</x:v>
      </x:c>
      <x:c r="E212" s="2" t="n">
        <x:v>79.9928763699439</x:v>
      </x:c>
      <x:c r="F212" s="2" t="n">
        <x:v>0.0979006229195817</x:v>
      </x:c>
      <x:c r="G212" s="2" t="n">
        <x:v>5</x:v>
      </x:c>
      <x:c r="H212" s="2" t="n">
        <x:v>79.98133298727322</x:v>
      </x:c>
      <x:c r="I212" s="2" t="n">
        <x:v>80.02998001088412</x:v>
      </x:c>
      <x:c r="J212" s="2" t="n">
        <x:v>80.07862703449501</x:v>
      </x:c>
      <x:c r="K212" s="2" t="n">
        <x:v>0</x:v>
      </x:c>
      <x:c r="L212" s="2" t="n">
        <x:v>0.0843102662233807</x:v>
      </x:c>
      <x:c r="M212" s="2" t="n">
        <x:v>0.1782319027962268</x:v>
      </x:c>
      <x:c r="N212" s="14" t="b">
        <x:v>0</x:v>
      </x:c>
      <x:c r="O212" s="14" t="b">
        <x:v>0</x:v>
      </x:c>
      <x:c r="P212" s="14" t="b">
        <x:v>0</x:v>
      </x:c>
      <x:c r="Q212" s="14" t="b">
        <x:v>0</x:v>
      </x:c>
      <x:c r="R212" s="14" t="b">
        <x:v>0</x:v>
      </x:c>
      <x:c r="S212" s="14" t="b">
        <x:v>0</x:v>
      </x:c>
    </x:row>
    <x:row r="213" ht="15" hidden="0" customHeight="1">
      <x:c r="A213" s="2" t="str">
        <x:v>SG-MC-05-2025062716</x:v>
      </x:c>
      <x:c r="B213" s="2" t="str">
        <x:v>2025-06-27 16:00:00</x:v>
      </x:c>
      <x:c r="C213" s="2" t="str">
        <x:v>MC-05</x:v>
      </x:c>
      <x:c r="D213" s="2" t="str">
        <x:v>PRD-D</x:v>
      </x:c>
      <x:c r="E213" s="2" t="n">
        <x:v>60.037593283329365</x:v>
      </x:c>
      <x:c r="F213" s="2" t="n">
        <x:v>0.1032783213300447</x:v>
      </x:c>
      <x:c r="G213" s="2" t="n">
        <x:v>5</x:v>
      </x:c>
      <x:c r="H213" s="2" t="n">
        <x:v>59.9812332134637</x:v>
      </x:c>
      <x:c r="I213" s="2" t="n">
        <x:v>60.03007765222271</x:v>
      </x:c>
      <x:c r="J213" s="2" t="n">
        <x:v>60.07892209098171</x:v>
      </x:c>
      <x:c r="K213" s="2" t="n">
        <x:v>0</x:v>
      </x:c>
      <x:c r="L213" s="2" t="n">
        <x:v>0.0846524068613621</x:v>
      </x:c>
      <x:c r="M213" s="2" t="n">
        <x:v>0.1789551881049196</x:v>
      </x:c>
      <x:c r="N213" s="14" t="b">
        <x:v>0</x:v>
      </x:c>
      <x:c r="O213" s="14" t="b">
        <x:v>0</x:v>
      </x:c>
      <x:c r="P213" s="14" t="b">
        <x:v>0</x:v>
      </x:c>
      <x:c r="Q213" s="14" t="b">
        <x:v>0</x:v>
      </x:c>
      <x:c r="R213" s="14" t="b">
        <x:v>0</x:v>
      </x:c>
      <x:c r="S213" s="14" t="b">
        <x:v>0</x:v>
      </x:c>
    </x:row>
    <x:row r="214" ht="15" hidden="0" customHeight="1">
      <x:c r="A214" s="2" t="str">
        <x:v>SG-MC-12-2025062800</x:v>
      </x:c>
      <x:c r="B214" s="2" t="str">
        <x:v>2025-06-28 00:00:00</x:v>
      </x:c>
      <x:c r="C214" s="2" t="str">
        <x:v>MC-12</x:v>
      </x:c>
      <x:c r="D214" s="2" t="str">
        <x:v>PRD-D</x:v>
      </x:c>
      <x:c r="E214" s="2" t="n">
        <x:v>60.03887594236095</x:v>
      </x:c>
      <x:c r="F214" s="2" t="n">
        <x:v>0.1233535050565564</x:v>
      </x:c>
      <x:c r="G214" s="2" t="n">
        <x:v>5</x:v>
      </x:c>
      <x:c r="H214" s="2" t="n">
        <x:v>59.9812332134637</x:v>
      </x:c>
      <x:c r="I214" s="2" t="n">
        <x:v>60.03007765222271</x:v>
      </x:c>
      <x:c r="J214" s="2" t="n">
        <x:v>60.07892209098171</x:v>
      </x:c>
      <x:c r="K214" s="2" t="n">
        <x:v>0</x:v>
      </x:c>
      <x:c r="L214" s="2" t="n">
        <x:v>0.0846524068613621</x:v>
      </x:c>
      <x:c r="M214" s="2" t="n">
        <x:v>0.1789551881049196</x:v>
      </x:c>
      <x:c r="N214" s="14" t="b">
        <x:v>0</x:v>
      </x:c>
      <x:c r="O214" s="14" t="b">
        <x:v>0</x:v>
      </x:c>
      <x:c r="P214" s="14" t="b">
        <x:v>0</x:v>
      </x:c>
      <x:c r="Q214" s="14" t="b">
        <x:v>0</x:v>
      </x:c>
      <x:c r="R214" s="14" t="b">
        <x:v>0</x:v>
      </x:c>
      <x:c r="S214" s="14" t="b">
        <x:v>0</x:v>
      </x:c>
    </x:row>
    <x:row r="215" ht="15" hidden="0" customHeight="1">
      <x:c r="A215" s="2" t="str">
        <x:v>SG-MC-01-2025062800</x:v>
      </x:c>
      <x:c r="B215" s="2" t="str">
        <x:v>2025-06-28 00:00:00</x:v>
      </x:c>
      <x:c r="C215" s="2" t="str">
        <x:v>MC-01</x:v>
      </x:c>
      <x:c r="D215" s="2" t="str">
        <x:v>PRD-A</x:v>
      </x:c>
      <x:c r="E215" s="2" t="n">
        <x:v>25.01831157326526</x:v>
      </x:c>
      <x:c r="F215" s="2" t="n">
        <x:v>0.0733843880498064</x:v>
      </x:c>
      <x:c r="G215" s="2" t="n">
        <x:v>5</x:v>
      </x:c>
      <x:c r="H215" s="2" t="n">
        <x:v>24.98096531359448</x:v>
      </x:c>
      <x:c r="I215" s="2" t="n">
        <x:v>25.029746559290437</x:v>
      </x:c>
      <x:c r="J215" s="2" t="n">
        <x:v>25.07852780498639</x:v>
      </x:c>
      <x:c r="K215" s="2" t="n">
        <x:v>0</x:v>
      </x:c>
      <x:c r="L215" s="2" t="n">
        <x:v>0.0845428868214142</x:v>
      </x:c>
      <x:c r="M215" s="2" t="n">
        <x:v>0.1787236627404697</x:v>
      </x:c>
      <x:c r="N215" s="14" t="b">
        <x:v>0</x:v>
      </x:c>
      <x:c r="O215" s="14" t="b">
        <x:v>0</x:v>
      </x:c>
      <x:c r="P215" s="14" t="b">
        <x:v>0</x:v>
      </x:c>
      <x:c r="Q215" s="14" t="b">
        <x:v>0</x:v>
      </x:c>
      <x:c r="R215" s="14" t="b">
        <x:v>0</x:v>
      </x:c>
      <x:c r="S215" s="14" t="b">
        <x:v>0</x:v>
      </x:c>
    </x:row>
    <x:row r="216" ht="15" hidden="0" customHeight="1">
      <x:c r="A216" s="2" t="str">
        <x:v>SG-MC-09-2025062800</x:v>
      </x:c>
      <x:c r="B216" s="2" t="str">
        <x:v>2025-06-28 00:00:00</x:v>
      </x:c>
      <x:c r="C216" s="2" t="str">
        <x:v>MC-09</x:v>
      </x:c>
      <x:c r="D216" s="2" t="str">
        <x:v>PRD-A</x:v>
      </x:c>
      <x:c r="E216" s="2" t="n">
        <x:v>25.01082313805116</x:v>
      </x:c>
      <x:c r="F216" s="2" t="n">
        <x:v>0.0850228451737002</x:v>
      </x:c>
      <x:c r="G216" s="2" t="n">
        <x:v>5</x:v>
      </x:c>
      <x:c r="H216" s="2" t="n">
        <x:v>24.98096531359448</x:v>
      </x:c>
      <x:c r="I216" s="2" t="n">
        <x:v>25.029746559290437</x:v>
      </x:c>
      <x:c r="J216" s="2" t="n">
        <x:v>25.07852780498639</x:v>
      </x:c>
      <x:c r="K216" s="2" t="n">
        <x:v>0</x:v>
      </x:c>
      <x:c r="L216" s="2" t="n">
        <x:v>0.0845428868214142</x:v>
      </x:c>
      <x:c r="M216" s="2" t="n">
        <x:v>0.1787236627404697</x:v>
      </x:c>
      <x:c r="N216" s="14" t="b">
        <x:v>0</x:v>
      </x:c>
      <x:c r="O216" s="14" t="b">
        <x:v>0</x:v>
      </x:c>
      <x:c r="P216" s="14" t="b">
        <x:v>0</x:v>
      </x:c>
      <x:c r="Q216" s="14" t="b">
        <x:v>0</x:v>
      </x:c>
      <x:c r="R216" s="14" t="b">
        <x:v>0</x:v>
      </x:c>
      <x:c r="S216" s="14" t="b">
        <x:v>0</x:v>
      </x:c>
    </x:row>
    <x:row r="217" ht="15" hidden="0" customHeight="1">
      <x:c r="A217" s="2" t="str">
        <x:v>SG-MC-05-2025062800</x:v>
      </x:c>
      <x:c r="B217" s="2" t="str">
        <x:v>2025-06-28 00:00:00</x:v>
      </x:c>
      <x:c r="C217" s="2" t="str">
        <x:v>MC-05</x:v>
      </x:c>
      <x:c r="D217" s="2" t="str">
        <x:v>PRD-A</x:v>
      </x:c>
      <x:c r="E217" s="2" t="n">
        <x:v>25.05424139899824</x:v>
      </x:c>
      <x:c r="F217" s="2" t="n">
        <x:v>0.0694154659276549</x:v>
      </x:c>
      <x:c r="G217" s="2" t="n">
        <x:v>5</x:v>
      </x:c>
      <x:c r="H217" s="2" t="n">
        <x:v>24.98096531359448</x:v>
      </x:c>
      <x:c r="I217" s="2" t="n">
        <x:v>25.029746559290437</x:v>
      </x:c>
      <x:c r="J217" s="2" t="n">
        <x:v>25.07852780498639</x:v>
      </x:c>
      <x:c r="K217" s="2" t="n">
        <x:v>0</x:v>
      </x:c>
      <x:c r="L217" s="2" t="n">
        <x:v>0.0845428868214142</x:v>
      </x:c>
      <x:c r="M217" s="2" t="n">
        <x:v>0.1787236627404697</x:v>
      </x:c>
      <x:c r="N217" s="14" t="b">
        <x:v>0</x:v>
      </x:c>
      <x:c r="O217" s="14" t="b">
        <x:v>0</x:v>
      </x:c>
      <x:c r="P217" s="14" t="b">
        <x:v>0</x:v>
      </x:c>
      <x:c r="Q217" s="14" t="b">
        <x:v>0</x:v>
      </x:c>
      <x:c r="R217" s="14" t="b">
        <x:v>0</x:v>
      </x:c>
      <x:c r="S217" s="14" t="b">
        <x:v>0</x:v>
      </x:c>
    </x:row>
    <x:row r="218" ht="15" hidden="0" customHeight="1">
      <x:c r="A218" s="2" t="str">
        <x:v>SG-MC-06-2025062800</x:v>
      </x:c>
      <x:c r="B218" s="2" t="str">
        <x:v>2025-06-28 00:00:00</x:v>
      </x:c>
      <x:c r="C218" s="2" t="str">
        <x:v>MC-06</x:v>
      </x:c>
      <x:c r="D218" s="2" t="str">
        <x:v>PRD-B</x:v>
      </x:c>
      <x:c r="E218" s="2" t="n">
        <x:v>79.99656390042871</x:v>
      </x:c>
      <x:c r="F218" s="2" t="n">
        <x:v>0.0637562805129476</x:v>
      </x:c>
      <x:c r="G218" s="2" t="n">
        <x:v>5</x:v>
      </x:c>
      <x:c r="H218" s="2" t="n">
        <x:v>79.98133298727322</x:v>
      </x:c>
      <x:c r="I218" s="2" t="n">
        <x:v>80.02998001088412</x:v>
      </x:c>
      <x:c r="J218" s="2" t="n">
        <x:v>80.07862703449501</x:v>
      </x:c>
      <x:c r="K218" s="2" t="n">
        <x:v>0</x:v>
      </x:c>
      <x:c r="L218" s="2" t="n">
        <x:v>0.0843102662233807</x:v>
      </x:c>
      <x:c r="M218" s="2" t="n">
        <x:v>0.1782319027962268</x:v>
      </x:c>
      <x:c r="N218" s="14" t="b">
        <x:v>0</x:v>
      </x:c>
      <x:c r="O218" s="14" t="b">
        <x:v>1</x:v>
      </x:c>
      <x:c r="P218" s="14" t="b">
        <x:v>0</x:v>
      </x:c>
      <x:c r="Q218" s="14" t="b">
        <x:v>0</x:v>
      </x:c>
      <x:c r="R218" s="14" t="b">
        <x:v>1</x:v>
      </x:c>
      <x:c r="S218" s="14" t="b">
        <x:v>0</x:v>
      </x:c>
    </x:row>
    <x:row r="219" ht="15" hidden="0" customHeight="1">
      <x:c r="A219" s="2" t="str">
        <x:v>SG-MC-02-2025062800</x:v>
      </x:c>
      <x:c r="B219" s="2" t="str">
        <x:v>2025-06-28 00:00:00</x:v>
      </x:c>
      <x:c r="C219" s="2" t="str">
        <x:v>MC-02</x:v>
      </x:c>
      <x:c r="D219" s="2" t="str">
        <x:v>PRD-B</x:v>
      </x:c>
      <x:c r="E219" s="2" t="n">
        <x:v>80.04511532221426</x:v>
      </x:c>
      <x:c r="F219" s="2" t="n">
        <x:v>0.071681875737056</x:v>
      </x:c>
      <x:c r="G219" s="2" t="n">
        <x:v>5</x:v>
      </x:c>
      <x:c r="H219" s="2" t="n">
        <x:v>79.98133298727322</x:v>
      </x:c>
      <x:c r="I219" s="2" t="n">
        <x:v>80.02998001088412</x:v>
      </x:c>
      <x:c r="J219" s="2" t="n">
        <x:v>80.07862703449501</x:v>
      </x:c>
      <x:c r="K219" s="2" t="n">
        <x:v>0</x:v>
      </x:c>
      <x:c r="L219" s="2" t="n">
        <x:v>0.0843102662233807</x:v>
      </x:c>
      <x:c r="M219" s="2" t="n">
        <x:v>0.1782319027962268</x:v>
      </x:c>
      <x:c r="N219" s="14" t="b">
        <x:v>0</x:v>
      </x:c>
      <x:c r="O219" s="14" t="b">
        <x:v>0</x:v>
      </x:c>
      <x:c r="P219" s="14" t="b">
        <x:v>0</x:v>
      </x:c>
      <x:c r="Q219" s="14" t="b">
        <x:v>0</x:v>
      </x:c>
      <x:c r="R219" s="14" t="b">
        <x:v>0</x:v>
      </x:c>
      <x:c r="S219" s="14" t="b">
        <x:v>0</x:v>
      </x:c>
    </x:row>
    <x:row r="220" ht="15" hidden="0" customHeight="1">
      <x:c r="A220" s="2" t="str">
        <x:v>SG-MC-03-2025062800</x:v>
      </x:c>
      <x:c r="B220" s="2" t="str">
        <x:v>2025-06-28 00:00:00</x:v>
      </x:c>
      <x:c r="C220" s="2" t="str">
        <x:v>MC-03</x:v>
      </x:c>
      <x:c r="D220" s="2" t="str">
        <x:v>PRD-C</x:v>
      </x:c>
      <x:c r="E220" s="2" t="n">
        <x:v>42.02011099044379</x:v>
      </x:c>
      <x:c r="F220" s="2" t="n">
        <x:v>0.1291199531001794</x:v>
      </x:c>
      <x:c r="G220" s="2" t="n">
        <x:v>5</x:v>
      </x:c>
      <x:c r="H220" s="2" t="n">
        <x:v>41.98128274145005</x:v>
      </x:c>
      <x:c r="I220" s="2" t="n">
        <x:v>42.03038150785648</x:v>
      </x:c>
      <x:c r="J220" s="2" t="n">
        <x:v>42.0794802742629</x:v>
      </x:c>
      <x:c r="K220" s="2" t="n">
        <x:v>0</x:v>
      </x:c>
      <x:c r="L220" s="2" t="n">
        <x:v>0.0850931826801104</x:v>
      </x:c>
      <x:c r="M220" s="2" t="n">
        <x:v>0.1798869881857533</x:v>
      </x:c>
      <x:c r="N220" s="14" t="b">
        <x:v>0</x:v>
      </x:c>
      <x:c r="O220" s="14" t="b">
        <x:v>0</x:v>
      </x:c>
      <x:c r="P220" s="14" t="b">
        <x:v>0</x:v>
      </x:c>
      <x:c r="Q220" s="14" t="b">
        <x:v>0</x:v>
      </x:c>
      <x:c r="R220" s="14" t="b">
        <x:v>0</x:v>
      </x:c>
      <x:c r="S220" s="14" t="b">
        <x:v>0</x:v>
      </x:c>
    </x:row>
    <x:row r="221" ht="15" hidden="0" customHeight="1">
      <x:c r="A221" s="2" t="str">
        <x:v>SG-MC-11-2025062800</x:v>
      </x:c>
      <x:c r="B221" s="2" t="str">
        <x:v>2025-06-28 00:00:00</x:v>
      </x:c>
      <x:c r="C221" s="2" t="str">
        <x:v>MC-11</x:v>
      </x:c>
      <x:c r="D221" s="2" t="str">
        <x:v>PRD-C</x:v>
      </x:c>
      <x:c r="E221" s="2" t="n">
        <x:v>42.02992696310295</x:v>
      </x:c>
      <x:c r="F221" s="2" t="n">
        <x:v>0.1187400319229254</x:v>
      </x:c>
      <x:c r="G221" s="2" t="n">
        <x:v>5</x:v>
      </x:c>
      <x:c r="H221" s="2" t="n">
        <x:v>41.98128274145005</x:v>
      </x:c>
      <x:c r="I221" s="2" t="n">
        <x:v>42.03038150785648</x:v>
      </x:c>
      <x:c r="J221" s="2" t="n">
        <x:v>42.0794802742629</x:v>
      </x:c>
      <x:c r="K221" s="2" t="n">
        <x:v>0</x:v>
      </x:c>
      <x:c r="L221" s="2" t="n">
        <x:v>0.0850931826801104</x:v>
      </x:c>
      <x:c r="M221" s="2" t="n">
        <x:v>0.1798869881857533</x:v>
      </x:c>
      <x:c r="N221" s="14" t="b">
        <x:v>0</x:v>
      </x:c>
      <x:c r="O221" s="14" t="b">
        <x:v>0</x:v>
      </x:c>
      <x:c r="P221" s="14" t="b">
        <x:v>0</x:v>
      </x:c>
      <x:c r="Q221" s="14" t="b">
        <x:v>0</x:v>
      </x:c>
      <x:c r="R221" s="14" t="b">
        <x:v>0</x:v>
      </x:c>
      <x:c r="S221" s="14" t="b">
        <x:v>0</x:v>
      </x:c>
    </x:row>
    <x:row r="222" ht="15" hidden="0" customHeight="1">
      <x:c r="A222" s="2" t="str">
        <x:v>SG-MC-07-2025062800</x:v>
      </x:c>
      <x:c r="B222" s="2" t="str">
        <x:v>2025-06-28 00:00:00</x:v>
      </x:c>
      <x:c r="C222" s="2" t="str">
        <x:v>MC-07</x:v>
      </x:c>
      <x:c r="D222" s="2" t="str">
        <x:v>PRD-C</x:v>
      </x:c>
      <x:c r="E222" s="2" t="n">
        <x:v>42.04970478233089</x:v>
      </x:c>
      <x:c r="F222" s="2" t="n">
        <x:v>0.1140590324294947</x:v>
      </x:c>
      <x:c r="G222" s="2" t="n">
        <x:v>5</x:v>
      </x:c>
      <x:c r="H222" s="2" t="n">
        <x:v>41.98128274145005</x:v>
      </x:c>
      <x:c r="I222" s="2" t="n">
        <x:v>42.03038150785648</x:v>
      </x:c>
      <x:c r="J222" s="2" t="n">
        <x:v>42.0794802742629</x:v>
      </x:c>
      <x:c r="K222" s="2" t="n">
        <x:v>0</x:v>
      </x:c>
      <x:c r="L222" s="2" t="n">
        <x:v>0.0850931826801104</x:v>
      </x:c>
      <x:c r="M222" s="2" t="n">
        <x:v>0.1798869881857533</x:v>
      </x:c>
      <x:c r="N222" s="14" t="b">
        <x:v>0</x:v>
      </x:c>
      <x:c r="O222" s="14" t="b">
        <x:v>0</x:v>
      </x:c>
      <x:c r="P222" s="14" t="b">
        <x:v>0</x:v>
      </x:c>
      <x:c r="Q222" s="14" t="b">
        <x:v>0</x:v>
      </x:c>
      <x:c r="R222" s="14" t="b">
        <x:v>0</x:v>
      </x:c>
      <x:c r="S222" s="14" t="b">
        <x:v>0</x:v>
      </x:c>
    </x:row>
    <x:row r="223" ht="15" hidden="0" customHeight="1">
      <x:c r="A223" s="2" t="str">
        <x:v>SG-MC-08-2025062800</x:v>
      </x:c>
      <x:c r="B223" s="2" t="str">
        <x:v>2025-06-28 00:00:00</x:v>
      </x:c>
      <x:c r="C223" s="2" t="str">
        <x:v>MC-08</x:v>
      </x:c>
      <x:c r="D223" s="2" t="str">
        <x:v>PRD-D</x:v>
      </x:c>
      <x:c r="E223" s="2" t="n">
        <x:v>60.03298866437035</x:v>
      </x:c>
      <x:c r="F223" s="2" t="n">
        <x:v>0.1191192295080085</x:v>
      </x:c>
      <x:c r="G223" s="2" t="n">
        <x:v>5</x:v>
      </x:c>
      <x:c r="H223" s="2" t="n">
        <x:v>59.9812332134637</x:v>
      </x:c>
      <x:c r="I223" s="2" t="n">
        <x:v>60.03007765222271</x:v>
      </x:c>
      <x:c r="J223" s="2" t="n">
        <x:v>60.07892209098171</x:v>
      </x:c>
      <x:c r="K223" s="2" t="n">
        <x:v>0</x:v>
      </x:c>
      <x:c r="L223" s="2" t="n">
        <x:v>0.0846524068613621</x:v>
      </x:c>
      <x:c r="M223" s="2" t="n">
        <x:v>0.1789551881049196</x:v>
      </x:c>
      <x:c r="N223" s="14" t="b">
        <x:v>0</x:v>
      </x:c>
      <x:c r="O223" s="14" t="b">
        <x:v>0</x:v>
      </x:c>
      <x:c r="P223" s="14" t="b">
        <x:v>0</x:v>
      </x:c>
      <x:c r="Q223" s="14" t="b">
        <x:v>0</x:v>
      </x:c>
      <x:c r="R223" s="14" t="b">
        <x:v>0</x:v>
      </x:c>
      <x:c r="S223" s="14" t="b">
        <x:v>0</x:v>
      </x:c>
    </x:row>
    <x:row r="224" ht="15" hidden="0" customHeight="1">
      <x:c r="A224" s="2" t="str">
        <x:v>SG-MC-04-2025062800</x:v>
      </x:c>
      <x:c r="B224" s="2" t="str">
        <x:v>2025-06-28 00:00:00</x:v>
      </x:c>
      <x:c r="C224" s="2" t="str">
        <x:v>MC-04</x:v>
      </x:c>
      <x:c r="D224" s="2" t="str">
        <x:v>PRD-D</x:v>
      </x:c>
      <x:c r="E224" s="2" t="n">
        <x:v>60.05385782496446</x:v>
      </x:c>
      <x:c r="F224" s="2" t="n">
        <x:v>0.0643912426061348</x:v>
      </x:c>
      <x:c r="G224" s="2" t="n">
        <x:v>5</x:v>
      </x:c>
      <x:c r="H224" s="2" t="n">
        <x:v>59.9812332134637</x:v>
      </x:c>
      <x:c r="I224" s="2" t="n">
        <x:v>60.03007765222271</x:v>
      </x:c>
      <x:c r="J224" s="2" t="n">
        <x:v>60.07892209098171</x:v>
      </x:c>
      <x:c r="K224" s="2" t="n">
        <x:v>0</x:v>
      </x:c>
      <x:c r="L224" s="2" t="n">
        <x:v>0.0846524068613621</x:v>
      </x:c>
      <x:c r="M224" s="2" t="n">
        <x:v>0.1789551881049196</x:v>
      </x:c>
      <x:c r="N224" s="14" t="b">
        <x:v>0</x:v>
      </x:c>
      <x:c r="O224" s="14" t="b">
        <x:v>0</x:v>
      </x:c>
      <x:c r="P224" s="14" t="b">
        <x:v>0</x:v>
      </x:c>
      <x:c r="Q224" s="14" t="b">
        <x:v>0</x:v>
      </x:c>
      <x:c r="R224" s="14" t="b">
        <x:v>0</x:v>
      </x:c>
      <x:c r="S224" s="14" t="b">
        <x:v>0</x:v>
      </x:c>
    </x:row>
    <x:row r="225" ht="15" hidden="0" customHeight="1">
      <x:c r="A225" s="2" t="str">
        <x:v>SG-MC-10-2025062800</x:v>
      </x:c>
      <x:c r="B225" s="2" t="str">
        <x:v>2025-06-28 00:00:00</x:v>
      </x:c>
      <x:c r="C225" s="2" t="str">
        <x:v>MC-10</x:v>
      </x:c>
      <x:c r="D225" s="2" t="str">
        <x:v>PRD-B</x:v>
      </x:c>
      <x:c r="E225" s="2" t="n">
        <x:v>80.04221372392995</x:v>
      </x:c>
      <x:c r="F225" s="2" t="n">
        <x:v>0.0675235358493751</x:v>
      </x:c>
      <x:c r="G225" s="2" t="n">
        <x:v>5</x:v>
      </x:c>
      <x:c r="H225" s="2" t="n">
        <x:v>79.98133298727322</x:v>
      </x:c>
      <x:c r="I225" s="2" t="n">
        <x:v>80.02998001088412</x:v>
      </x:c>
      <x:c r="J225" s="2" t="n">
        <x:v>80.07862703449501</x:v>
      </x:c>
      <x:c r="K225" s="2" t="n">
        <x:v>0</x:v>
      </x:c>
      <x:c r="L225" s="2" t="n">
        <x:v>0.0843102662233807</x:v>
      </x:c>
      <x:c r="M225" s="2" t="n">
        <x:v>0.1782319027962268</x:v>
      </x:c>
      <x:c r="N225" s="14" t="b">
        <x:v>0</x:v>
      </x:c>
      <x:c r="O225" s="14" t="b">
        <x:v>1</x:v>
      </x:c>
      <x:c r="P225" s="14" t="b">
        <x:v>0</x:v>
      </x:c>
      <x:c r="Q225" s="14" t="b">
        <x:v>0</x:v>
      </x:c>
      <x:c r="R225" s="14" t="b">
        <x:v>1</x:v>
      </x:c>
      <x:c r="S225" s="14" t="b">
        <x:v>0</x:v>
      </x:c>
    </x:row>
    <x:row r="226" ht="15" hidden="0" customHeight="1">
      <x:c r="A226" s="2" t="str">
        <x:v>SG-MC-03-2025062808</x:v>
      </x:c>
      <x:c r="B226" s="2" t="str">
        <x:v>2025-06-28 08:00:00</x:v>
      </x:c>
      <x:c r="C226" s="2" t="str">
        <x:v>MC-03</x:v>
      </x:c>
      <x:c r="D226" s="2" t="str">
        <x:v>PRD-C</x:v>
      </x:c>
      <x:c r="E226" s="2" t="n">
        <x:v>42.02119424897949</x:v>
      </x:c>
      <x:c r="F226" s="2" t="n">
        <x:v>0.1094914745629651</x:v>
      </x:c>
      <x:c r="G226" s="2" t="n">
        <x:v>5</x:v>
      </x:c>
      <x:c r="H226" s="2" t="n">
        <x:v>41.98128274145005</x:v>
      </x:c>
      <x:c r="I226" s="2" t="n">
        <x:v>42.03038150785648</x:v>
      </x:c>
      <x:c r="J226" s="2" t="n">
        <x:v>42.0794802742629</x:v>
      </x:c>
      <x:c r="K226" s="2" t="n">
        <x:v>0</x:v>
      </x:c>
      <x:c r="L226" s="2" t="n">
        <x:v>0.0850931826801104</x:v>
      </x:c>
      <x:c r="M226" s="2" t="n">
        <x:v>0.1798869881857533</x:v>
      </x:c>
      <x:c r="N226" s="14" t="b">
        <x:v>0</x:v>
      </x:c>
      <x:c r="O226" s="14" t="b">
        <x:v>0</x:v>
      </x:c>
      <x:c r="P226" s="14" t="b">
        <x:v>0</x:v>
      </x:c>
      <x:c r="Q226" s="14" t="b">
        <x:v>0</x:v>
      </x:c>
      <x:c r="R226" s="14" t="b">
        <x:v>0</x:v>
      </x:c>
      <x:c r="S226" s="14" t="b">
        <x:v>0</x:v>
      </x:c>
    </x:row>
    <x:row r="227" ht="15" hidden="0" customHeight="1">
      <x:c r="A227" s="2" t="str">
        <x:v>SG-MC-11-2025062808</x:v>
      </x:c>
      <x:c r="B227" s="2" t="str">
        <x:v>2025-06-28 08:00:00</x:v>
      </x:c>
      <x:c r="C227" s="2" t="str">
        <x:v>MC-11</x:v>
      </x:c>
      <x:c r="D227" s="2" t="str">
        <x:v>PRD-C</x:v>
      </x:c>
      <x:c r="E227" s="2" t="n">
        <x:v>42.03462562335847</x:v>
      </x:c>
      <x:c r="F227" s="2" t="n">
        <x:v>0.0646481369756841</x:v>
      </x:c>
      <x:c r="G227" s="2" t="n">
        <x:v>5</x:v>
      </x:c>
      <x:c r="H227" s="2" t="n">
        <x:v>41.98128274145005</x:v>
      </x:c>
      <x:c r="I227" s="2" t="n">
        <x:v>42.03038150785648</x:v>
      </x:c>
      <x:c r="J227" s="2" t="n">
        <x:v>42.0794802742629</x:v>
      </x:c>
      <x:c r="K227" s="2" t="n">
        <x:v>0</x:v>
      </x:c>
      <x:c r="L227" s="2" t="n">
        <x:v>0.0850931826801104</x:v>
      </x:c>
      <x:c r="M227" s="2" t="n">
        <x:v>0.1798869881857533</x:v>
      </x:c>
      <x:c r="N227" s="14" t="b">
        <x:v>0</x:v>
      </x:c>
      <x:c r="O227" s="14" t="b">
        <x:v>0</x:v>
      </x:c>
      <x:c r="P227" s="14" t="b">
        <x:v>0</x:v>
      </x:c>
      <x:c r="Q227" s="14" t="b">
        <x:v>0</x:v>
      </x:c>
      <x:c r="R227" s="14" t="b">
        <x:v>0</x:v>
      </x:c>
      <x:c r="S227" s="14" t="b">
        <x:v>0</x:v>
      </x:c>
    </x:row>
    <x:row r="228" ht="15" hidden="0" customHeight="1">
      <x:c r="A228" s="2" t="str">
        <x:v>SG-MC-07-2025062808</x:v>
      </x:c>
      <x:c r="B228" s="2" t="str">
        <x:v>2025-06-28 08:00:00</x:v>
      </x:c>
      <x:c r="C228" s="2" t="str">
        <x:v>MC-07</x:v>
      </x:c>
      <x:c r="D228" s="2" t="str">
        <x:v>PRD-C</x:v>
      </x:c>
      <x:c r="E228" s="2" t="n">
        <x:v>42.02591188006711</x:v>
      </x:c>
      <x:c r="F228" s="2" t="n">
        <x:v>0.1153484787058047</x:v>
      </x:c>
      <x:c r="G228" s="2" t="n">
        <x:v>5</x:v>
      </x:c>
      <x:c r="H228" s="2" t="n">
        <x:v>41.98128274145005</x:v>
      </x:c>
      <x:c r="I228" s="2" t="n">
        <x:v>42.03038150785648</x:v>
      </x:c>
      <x:c r="J228" s="2" t="n">
        <x:v>42.0794802742629</x:v>
      </x:c>
      <x:c r="K228" s="2" t="n">
        <x:v>0</x:v>
      </x:c>
      <x:c r="L228" s="2" t="n">
        <x:v>0.0850931826801104</x:v>
      </x:c>
      <x:c r="M228" s="2" t="n">
        <x:v>0.1798869881857533</x:v>
      </x:c>
      <x:c r="N228" s="14" t="b">
        <x:v>0</x:v>
      </x:c>
      <x:c r="O228" s="14" t="b">
        <x:v>0</x:v>
      </x:c>
      <x:c r="P228" s="14" t="b">
        <x:v>0</x:v>
      </x:c>
      <x:c r="Q228" s="14" t="b">
        <x:v>0</x:v>
      </x:c>
      <x:c r="R228" s="14" t="b">
        <x:v>0</x:v>
      </x:c>
      <x:c r="S228" s="14" t="b">
        <x:v>0</x:v>
      </x:c>
    </x:row>
    <x:row r="229" ht="15" hidden="0" customHeight="1">
      <x:c r="A229" s="2" t="str">
        <x:v>SG-MC-01-2025062808</x:v>
      </x:c>
      <x:c r="B229" s="2" t="str">
        <x:v>2025-06-28 08:00:00</x:v>
      </x:c>
      <x:c r="C229" s="2" t="str">
        <x:v>MC-01</x:v>
      </x:c>
      <x:c r="D229" s="2" t="str">
        <x:v>PRD-A</x:v>
      </x:c>
      <x:c r="E229" s="2" t="n">
        <x:v>25.003498366979997</x:v>
      </x:c>
      <x:c r="F229" s="2" t="n">
        <x:v>0.054078194244262</x:v>
      </x:c>
      <x:c r="G229" s="2" t="n">
        <x:v>5</x:v>
      </x:c>
      <x:c r="H229" s="2" t="n">
        <x:v>24.98096531359448</x:v>
      </x:c>
      <x:c r="I229" s="2" t="n">
        <x:v>25.029746559290437</x:v>
      </x:c>
      <x:c r="J229" s="2" t="n">
        <x:v>25.07852780498639</x:v>
      </x:c>
      <x:c r="K229" s="2" t="n">
        <x:v>0</x:v>
      </x:c>
      <x:c r="L229" s="2" t="n">
        <x:v>0.0845428868214142</x:v>
      </x:c>
      <x:c r="M229" s="2" t="n">
        <x:v>0.1787236627404697</x:v>
      </x:c>
      <x:c r="N229" s="14" t="b">
        <x:v>0</x:v>
      </x:c>
      <x:c r="O229" s="14" t="b">
        <x:v>0</x:v>
      </x:c>
      <x:c r="P229" s="14" t="b">
        <x:v>0</x:v>
      </x:c>
      <x:c r="Q229" s="14" t="b">
        <x:v>0</x:v>
      </x:c>
      <x:c r="R229" s="14" t="b">
        <x:v>0</x:v>
      </x:c>
      <x:c r="S229" s="14" t="b">
        <x:v>0</x:v>
      </x:c>
    </x:row>
    <x:row r="230" ht="15" hidden="0" customHeight="1">
      <x:c r="A230" s="2" t="str">
        <x:v>SG-MC-09-2025062808</x:v>
      </x:c>
      <x:c r="B230" s="2" t="str">
        <x:v>2025-06-28 08:00:00</x:v>
      </x:c>
      <x:c r="C230" s="2" t="str">
        <x:v>MC-09</x:v>
      </x:c>
      <x:c r="D230" s="2" t="str">
        <x:v>PRD-A</x:v>
      </x:c>
      <x:c r="E230" s="2" t="n">
        <x:v>25.005267534358737</x:v>
      </x:c>
      <x:c r="F230" s="2" t="n">
        <x:v>0.0517094758718776</x:v>
      </x:c>
      <x:c r="G230" s="2" t="n">
        <x:v>5</x:v>
      </x:c>
      <x:c r="H230" s="2" t="n">
        <x:v>24.98096531359448</x:v>
      </x:c>
      <x:c r="I230" s="2" t="n">
        <x:v>25.029746559290437</x:v>
      </x:c>
      <x:c r="J230" s="2" t="n">
        <x:v>25.07852780498639</x:v>
      </x:c>
      <x:c r="K230" s="2" t="n">
        <x:v>0</x:v>
      </x:c>
      <x:c r="L230" s="2" t="n">
        <x:v>0.0845428868214142</x:v>
      </x:c>
      <x:c r="M230" s="2" t="n">
        <x:v>0.1787236627404697</x:v>
      </x:c>
      <x:c r="N230" s="14" t="b">
        <x:v>0</x:v>
      </x:c>
      <x:c r="O230" s="14" t="b">
        <x:v>0</x:v>
      </x:c>
      <x:c r="P230" s="14" t="b">
        <x:v>0</x:v>
      </x:c>
      <x:c r="Q230" s="14" t="b">
        <x:v>0</x:v>
      </x:c>
      <x:c r="R230" s="14" t="b">
        <x:v>0</x:v>
      </x:c>
      <x:c r="S230" s="14" t="b">
        <x:v>0</x:v>
      </x:c>
    </x:row>
    <x:row r="231" ht="15" hidden="0" customHeight="1">
      <x:c r="A231" s="2" t="str">
        <x:v>SG-MC-05-2025062808</x:v>
      </x:c>
      <x:c r="B231" s="2" t="str">
        <x:v>2025-06-28 08:00:00</x:v>
      </x:c>
      <x:c r="C231" s="2" t="str">
        <x:v>MC-05</x:v>
      </x:c>
      <x:c r="D231" s="2" t="str">
        <x:v>PRD-A</x:v>
      </x:c>
      <x:c r="E231" s="2" t="n">
        <x:v>25.05663957271448</x:v>
      </x:c>
      <x:c r="F231" s="2" t="n">
        <x:v>0.0662980761351264</x:v>
      </x:c>
      <x:c r="G231" s="2" t="n">
        <x:v>5</x:v>
      </x:c>
      <x:c r="H231" s="2" t="n">
        <x:v>24.98096531359448</x:v>
      </x:c>
      <x:c r="I231" s="2" t="n">
        <x:v>25.029746559290437</x:v>
      </x:c>
      <x:c r="J231" s="2" t="n">
        <x:v>25.07852780498639</x:v>
      </x:c>
      <x:c r="K231" s="2" t="n">
        <x:v>0</x:v>
      </x:c>
      <x:c r="L231" s="2" t="n">
        <x:v>0.0845428868214142</x:v>
      </x:c>
      <x:c r="M231" s="2" t="n">
        <x:v>0.1787236627404697</x:v>
      </x:c>
      <x:c r="N231" s="14" t="b">
        <x:v>0</x:v>
      </x:c>
      <x:c r="O231" s="14" t="b">
        <x:v>0</x:v>
      </x:c>
      <x:c r="P231" s="14" t="b">
        <x:v>0</x:v>
      </x:c>
      <x:c r="Q231" s="14" t="b">
        <x:v>0</x:v>
      </x:c>
      <x:c r="R231" s="14" t="b">
        <x:v>0</x:v>
      </x:c>
      <x:c r="S231" s="14" t="b">
        <x:v>0</x:v>
      </x:c>
    </x:row>
    <x:row r="232" ht="15" hidden="0" customHeight="1">
      <x:c r="A232" s="2" t="str">
        <x:v>SG-MC-02-2025062808</x:v>
      </x:c>
      <x:c r="B232" s="2" t="str">
        <x:v>2025-06-28 08:00:00</x:v>
      </x:c>
      <x:c r="C232" s="2" t="str">
        <x:v>MC-02</x:v>
      </x:c>
      <x:c r="D232" s="2" t="str">
        <x:v>PRD-B</x:v>
      </x:c>
      <x:c r="E232" s="2" t="n">
        <x:v>79.99302579168001</x:v>
      </x:c>
      <x:c r="F232" s="2" t="n">
        <x:v>0.0504187724009455</x:v>
      </x:c>
      <x:c r="G232" s="2" t="n">
        <x:v>5</x:v>
      </x:c>
      <x:c r="H232" s="2" t="n">
        <x:v>79.98133298727322</x:v>
      </x:c>
      <x:c r="I232" s="2" t="n">
        <x:v>80.02998001088412</x:v>
      </x:c>
      <x:c r="J232" s="2" t="n">
        <x:v>80.07862703449501</x:v>
      </x:c>
      <x:c r="K232" s="2" t="n">
        <x:v>0</x:v>
      </x:c>
      <x:c r="L232" s="2" t="n">
        <x:v>0.0843102662233807</x:v>
      </x:c>
      <x:c r="M232" s="2" t="n">
        <x:v>0.1782319027962268</x:v>
      </x:c>
      <x:c r="N232" s="14" t="b">
        <x:v>0</x:v>
      </x:c>
      <x:c r="O232" s="14" t="b">
        <x:v>0</x:v>
      </x:c>
      <x:c r="P232" s="14" t="b">
        <x:v>0</x:v>
      </x:c>
      <x:c r="Q232" s="14" t="b">
        <x:v>0</x:v>
      </x:c>
      <x:c r="R232" s="14" t="b">
        <x:v>0</x:v>
      </x:c>
      <x:c r="S232" s="14" t="b">
        <x:v>0</x:v>
      </x:c>
    </x:row>
    <x:row r="233" ht="15" hidden="0" customHeight="1">
      <x:c r="A233" s="2" t="str">
        <x:v>SG-MC-06-2025062808</x:v>
      </x:c>
      <x:c r="B233" s="2" t="str">
        <x:v>2025-06-28 08:00:00</x:v>
      </x:c>
      <x:c r="C233" s="2" t="str">
        <x:v>MC-06</x:v>
      </x:c>
      <x:c r="D233" s="2" t="str">
        <x:v>PRD-B</x:v>
      </x:c>
      <x:c r="E233" s="2" t="n">
        <x:v>79.98140365628487</x:v>
      </x:c>
      <x:c r="F233" s="2" t="n">
        <x:v>0.0438823668116015</x:v>
      </x:c>
      <x:c r="G233" s="2" t="n">
        <x:v>5</x:v>
      </x:c>
      <x:c r="H233" s="2" t="n">
        <x:v>79.98133298727322</x:v>
      </x:c>
      <x:c r="I233" s="2" t="n">
        <x:v>80.02998001088412</x:v>
      </x:c>
      <x:c r="J233" s="2" t="n">
        <x:v>80.07862703449501</x:v>
      </x:c>
      <x:c r="K233" s="2" t="n">
        <x:v>0</x:v>
      </x:c>
      <x:c r="L233" s="2" t="n">
        <x:v>0.0843102662233807</x:v>
      </x:c>
      <x:c r="M233" s="2" t="n">
        <x:v>0.1782319027962268</x:v>
      </x:c>
      <x:c r="N233" s="14" t="b">
        <x:v>0</x:v>
      </x:c>
      <x:c r="O233" s="14" t="b">
        <x:v>1</x:v>
      </x:c>
      <x:c r="P233" s="14" t="b">
        <x:v>0</x:v>
      </x:c>
      <x:c r="Q233" s="14" t="b">
        <x:v>0</x:v>
      </x:c>
      <x:c r="R233" s="14" t="b">
        <x:v>1</x:v>
      </x:c>
      <x:c r="S233" s="14" t="b">
        <x:v>0</x:v>
      </x:c>
    </x:row>
    <x:row r="234" ht="15" hidden="0" customHeight="1">
      <x:c r="A234" s="2" t="str">
        <x:v>SG-MC-10-2025062808</x:v>
      </x:c>
      <x:c r="B234" s="2" t="str">
        <x:v>2025-06-28 08:00:00</x:v>
      </x:c>
      <x:c r="C234" s="2" t="str">
        <x:v>MC-10</x:v>
      </x:c>
      <x:c r="D234" s="2" t="str">
        <x:v>PRD-B</x:v>
      </x:c>
      <x:c r="E234" s="2" t="n">
        <x:v>80.01410455148422</x:v>
      </x:c>
      <x:c r="F234" s="2" t="n">
        <x:v>0.0532804980596353</x:v>
      </x:c>
      <x:c r="G234" s="2" t="n">
        <x:v>5</x:v>
      </x:c>
      <x:c r="H234" s="2" t="n">
        <x:v>79.98133298727322</x:v>
      </x:c>
      <x:c r="I234" s="2" t="n">
        <x:v>80.02998001088412</x:v>
      </x:c>
      <x:c r="J234" s="2" t="n">
        <x:v>80.07862703449501</x:v>
      </x:c>
      <x:c r="K234" s="2" t="n">
        <x:v>0</x:v>
      </x:c>
      <x:c r="L234" s="2" t="n">
        <x:v>0.0843102662233807</x:v>
      </x:c>
      <x:c r="M234" s="2" t="n">
        <x:v>0.1782319027962268</x:v>
      </x:c>
      <x:c r="N234" s="14" t="b">
        <x:v>0</x:v>
      </x:c>
      <x:c r="O234" s="14" t="b">
        <x:v>1</x:v>
      </x:c>
      <x:c r="P234" s="14" t="b">
        <x:v>0</x:v>
      </x:c>
      <x:c r="Q234" s="14" t="b">
        <x:v>0</x:v>
      </x:c>
      <x:c r="R234" s="14" t="b">
        <x:v>1</x:v>
      </x:c>
      <x:c r="S234" s="14" t="b">
        <x:v>0</x:v>
      </x:c>
    </x:row>
    <x:row r="235" ht="15" hidden="0" customHeight="1">
      <x:c r="A235" s="2" t="str">
        <x:v>SG-MC-12-2025062808</x:v>
      </x:c>
      <x:c r="B235" s="2" t="str">
        <x:v>2025-06-28 08:00:00</x:v>
      </x:c>
      <x:c r="C235" s="2" t="str">
        <x:v>MC-12</x:v>
      </x:c>
      <x:c r="D235" s="2" t="str">
        <x:v>PRD-D</x:v>
      </x:c>
      <x:c r="E235" s="2" t="n">
        <x:v>60.02775793443182</x:v>
      </x:c>
      <x:c r="F235" s="2" t="n">
        <x:v>0.046845428017356</x:v>
      </x:c>
      <x:c r="G235" s="2" t="n">
        <x:v>5</x:v>
      </x:c>
      <x:c r="H235" s="2" t="n">
        <x:v>59.9812332134637</x:v>
      </x:c>
      <x:c r="I235" s="2" t="n">
        <x:v>60.03007765222271</x:v>
      </x:c>
      <x:c r="J235" s="2" t="n">
        <x:v>60.07892209098171</x:v>
      </x:c>
      <x:c r="K235" s="2" t="n">
        <x:v>0</x:v>
      </x:c>
      <x:c r="L235" s="2" t="n">
        <x:v>0.0846524068613621</x:v>
      </x:c>
      <x:c r="M235" s="2" t="n">
        <x:v>0.1789551881049196</x:v>
      </x:c>
      <x:c r="N235" s="14" t="b">
        <x:v>0</x:v>
      </x:c>
      <x:c r="O235" s="14" t="b">
        <x:v>0</x:v>
      </x:c>
      <x:c r="P235" s="14" t="b">
        <x:v>0</x:v>
      </x:c>
      <x:c r="Q235" s="14" t="b">
        <x:v>0</x:v>
      </x:c>
      <x:c r="R235" s="14" t="b">
        <x:v>0</x:v>
      </x:c>
      <x:c r="S235" s="14" t="b">
        <x:v>0</x:v>
      </x:c>
    </x:row>
    <x:row r="236" ht="15" hidden="0" customHeight="1">
      <x:c r="A236" s="2" t="str">
        <x:v>SG-MC-04-2025062808</x:v>
      </x:c>
      <x:c r="B236" s="2" t="str">
        <x:v>2025-06-28 08:00:00</x:v>
      </x:c>
      <x:c r="C236" s="2" t="str">
        <x:v>MC-04</x:v>
      </x:c>
      <x:c r="D236" s="2" t="str">
        <x:v>PRD-D</x:v>
      </x:c>
      <x:c r="E236" s="2" t="n">
        <x:v>60.05343157956027</x:v>
      </x:c>
      <x:c r="F236" s="2" t="n">
        <x:v>0.0835759695903703</x:v>
      </x:c>
      <x:c r="G236" s="2" t="n">
        <x:v>5</x:v>
      </x:c>
      <x:c r="H236" s="2" t="n">
        <x:v>59.9812332134637</x:v>
      </x:c>
      <x:c r="I236" s="2" t="n">
        <x:v>60.03007765222271</x:v>
      </x:c>
      <x:c r="J236" s="2" t="n">
        <x:v>60.07892209098171</x:v>
      </x:c>
      <x:c r="K236" s="2" t="n">
        <x:v>0</x:v>
      </x:c>
      <x:c r="L236" s="2" t="n">
        <x:v>0.0846524068613621</x:v>
      </x:c>
      <x:c r="M236" s="2" t="n">
        <x:v>0.1789551881049196</x:v>
      </x:c>
      <x:c r="N236" s="14" t="b">
        <x:v>0</x:v>
      </x:c>
      <x:c r="O236" s="14" t="b">
        <x:v>0</x:v>
      </x:c>
      <x:c r="P236" s="14" t="b">
        <x:v>0</x:v>
      </x:c>
      <x:c r="Q236" s="14" t="b">
        <x:v>0</x:v>
      </x:c>
      <x:c r="R236" s="14" t="b">
        <x:v>0</x:v>
      </x:c>
      <x:c r="S236" s="14" t="b">
        <x:v>0</x:v>
      </x:c>
    </x:row>
    <x:row r="237" ht="15" hidden="0" customHeight="1">
      <x:c r="A237" s="2" t="str">
        <x:v>SG-MC-08-2025062808</x:v>
      </x:c>
      <x:c r="B237" s="2" t="str">
        <x:v>2025-06-28 08:00:00</x:v>
      </x:c>
      <x:c r="C237" s="2" t="str">
        <x:v>MC-08</x:v>
      </x:c>
      <x:c r="D237" s="2" t="str">
        <x:v>PRD-D</x:v>
      </x:c>
      <x:c r="E237" s="2" t="n">
        <x:v>60.00986870893284</x:v>
      </x:c>
      <x:c r="F237" s="2" t="n">
        <x:v>0.0538073754780583</x:v>
      </x:c>
      <x:c r="G237" s="2" t="n">
        <x:v>5</x:v>
      </x:c>
      <x:c r="H237" s="2" t="n">
        <x:v>59.9812332134637</x:v>
      </x:c>
      <x:c r="I237" s="2" t="n">
        <x:v>60.03007765222271</x:v>
      </x:c>
      <x:c r="J237" s="2" t="n">
        <x:v>60.07892209098171</x:v>
      </x:c>
      <x:c r="K237" s="2" t="n">
        <x:v>0</x:v>
      </x:c>
      <x:c r="L237" s="2" t="n">
        <x:v>0.0846524068613621</x:v>
      </x:c>
      <x:c r="M237" s="2" t="n">
        <x:v>0.1789551881049196</x:v>
      </x:c>
      <x:c r="N237" s="14" t="b">
        <x:v>0</x:v>
      </x:c>
      <x:c r="O237" s="14" t="b">
        <x:v>0</x:v>
      </x:c>
      <x:c r="P237" s="14" t="b">
        <x:v>0</x:v>
      </x:c>
      <x:c r="Q237" s="14" t="b">
        <x:v>0</x:v>
      </x:c>
      <x:c r="R237" s="14" t="b">
        <x:v>0</x:v>
      </x:c>
      <x:c r="S237" s="14" t="b">
        <x:v>0</x:v>
      </x:c>
    </x:row>
    <x:row r="238" ht="15" hidden="0" customHeight="1">
      <x:c r="A238" s="2" t="str">
        <x:v>SG-MC-06-2025062816</x:v>
      </x:c>
      <x:c r="B238" s="2" t="str">
        <x:v>2025-06-28 16:00:00</x:v>
      </x:c>
      <x:c r="C238" s="2" t="str">
        <x:v>MC-06</x:v>
      </x:c>
      <x:c r="D238" s="2" t="str">
        <x:v>PRD-B</x:v>
      </x:c>
      <x:c r="E238" s="2" t="n">
        <x:v>79.99561196353655</x:v>
      </x:c>
      <x:c r="F238" s="2" t="n">
        <x:v>0.0945711942095641</x:v>
      </x:c>
      <x:c r="G238" s="2" t="n">
        <x:v>5</x:v>
      </x:c>
      <x:c r="H238" s="2" t="n">
        <x:v>79.98133298727322</x:v>
      </x:c>
      <x:c r="I238" s="2" t="n">
        <x:v>80.02998001088412</x:v>
      </x:c>
      <x:c r="J238" s="2" t="n">
        <x:v>80.07862703449501</x:v>
      </x:c>
      <x:c r="K238" s="2" t="n">
        <x:v>0</x:v>
      </x:c>
      <x:c r="L238" s="2" t="n">
        <x:v>0.0843102662233807</x:v>
      </x:c>
      <x:c r="M238" s="2" t="n">
        <x:v>0.1782319027962268</x:v>
      </x:c>
      <x:c r="N238" s="14" t="b">
        <x:v>0</x:v>
      </x:c>
      <x:c r="O238" s="14" t="b">
        <x:v>0</x:v>
      </x:c>
      <x:c r="P238" s="14" t="b">
        <x:v>0</x:v>
      </x:c>
      <x:c r="Q238" s="14" t="b">
        <x:v>0</x:v>
      </x:c>
      <x:c r="R238" s="14" t="b">
        <x:v>0</x:v>
      </x:c>
      <x:c r="S238" s="14" t="b">
        <x:v>0</x:v>
      </x:c>
    </x:row>
    <x:row r="239" ht="15" hidden="0" customHeight="1">
      <x:c r="A239" s="2" t="str">
        <x:v>SG-MC-04-2025062816</x:v>
      </x:c>
      <x:c r="B239" s="2" t="str">
        <x:v>2025-06-28 16:00:00</x:v>
      </x:c>
      <x:c r="C239" s="2" t="str">
        <x:v>MC-04</x:v>
      </x:c>
      <x:c r="D239" s="2" t="str">
        <x:v>PRD-D</x:v>
      </x:c>
      <x:c r="E239" s="2" t="n">
        <x:v>60.03044444538818</x:v>
      </x:c>
      <x:c r="F239" s="2" t="n">
        <x:v>0.0689193268636003</x:v>
      </x:c>
      <x:c r="G239" s="2" t="n">
        <x:v>5</x:v>
      </x:c>
      <x:c r="H239" s="2" t="n">
        <x:v>59.9812332134637</x:v>
      </x:c>
      <x:c r="I239" s="2" t="n">
        <x:v>60.03007765222271</x:v>
      </x:c>
      <x:c r="J239" s="2" t="n">
        <x:v>60.07892209098171</x:v>
      </x:c>
      <x:c r="K239" s="2" t="n">
        <x:v>0</x:v>
      </x:c>
      <x:c r="L239" s="2" t="n">
        <x:v>0.0846524068613621</x:v>
      </x:c>
      <x:c r="M239" s="2" t="n">
        <x:v>0.1789551881049196</x:v>
      </x:c>
      <x:c r="N239" s="14" t="b">
        <x:v>0</x:v>
      </x:c>
      <x:c r="O239" s="14" t="b">
        <x:v>0</x:v>
      </x:c>
      <x:c r="P239" s="14" t="b">
        <x:v>0</x:v>
      </x:c>
      <x:c r="Q239" s="14" t="b">
        <x:v>0</x:v>
      </x:c>
      <x:c r="R239" s="14" t="b">
        <x:v>0</x:v>
      </x:c>
      <x:c r="S239" s="14" t="b">
        <x:v>0</x:v>
      </x:c>
    </x:row>
    <x:row r="240" ht="15" hidden="0" customHeight="1">
      <x:c r="A240" s="2" t="str">
        <x:v>SG-MC-03-2025062816</x:v>
      </x:c>
      <x:c r="B240" s="2" t="str">
        <x:v>2025-06-28 16:00:00</x:v>
      </x:c>
      <x:c r="C240" s="2" t="str">
        <x:v>MC-03</x:v>
      </x:c>
      <x:c r="D240" s="2" t="str">
        <x:v>PRD-C</x:v>
      </x:c>
      <x:c r="E240" s="2" t="n">
        <x:v>42.05239660133596</x:v>
      </x:c>
      <x:c r="F240" s="2" t="n">
        <x:v>0.0195242159801551</x:v>
      </x:c>
      <x:c r="G240" s="2" t="n">
        <x:v>5</x:v>
      </x:c>
      <x:c r="H240" s="2" t="n">
        <x:v>41.98128274145005</x:v>
      </x:c>
      <x:c r="I240" s="2" t="n">
        <x:v>42.03038150785648</x:v>
      </x:c>
      <x:c r="J240" s="2" t="n">
        <x:v>42.0794802742629</x:v>
      </x:c>
      <x:c r="K240" s="2" t="n">
        <x:v>0</x:v>
      </x:c>
      <x:c r="L240" s="2" t="n">
        <x:v>0.0850931826801104</x:v>
      </x:c>
      <x:c r="M240" s="2" t="n">
        <x:v>0.1798869881857533</x:v>
      </x:c>
      <x:c r="N240" s="14" t="b">
        <x:v>0</x:v>
      </x:c>
      <x:c r="O240" s="14" t="b">
        <x:v>0</x:v>
      </x:c>
      <x:c r="P240" s="14" t="b">
        <x:v>0</x:v>
      </x:c>
      <x:c r="Q240" s="14" t="b">
        <x:v>0</x:v>
      </x:c>
      <x:c r="R240" s="14" t="b">
        <x:v>0</x:v>
      </x:c>
      <x:c r="S240" s="14" t="b">
        <x:v>0</x:v>
      </x:c>
    </x:row>
    <x:row r="241" ht="15" hidden="0" customHeight="1">
      <x:c r="A241" s="2" t="str">
        <x:v>SG-MC-12-2025062816</x:v>
      </x:c>
      <x:c r="B241" s="2" t="str">
        <x:v>2025-06-28 16:00:00</x:v>
      </x:c>
      <x:c r="C241" s="2" t="str">
        <x:v>MC-12</x:v>
      </x:c>
      <x:c r="D241" s="2" t="str">
        <x:v>PRD-D</x:v>
      </x:c>
      <x:c r="E241" s="2" t="n">
        <x:v>60.0057120684413</x:v>
      </x:c>
      <x:c r="F241" s="2" t="n">
        <x:v>0.0591343365047833</x:v>
      </x:c>
      <x:c r="G241" s="2" t="n">
        <x:v>5</x:v>
      </x:c>
      <x:c r="H241" s="2" t="n">
        <x:v>59.9812332134637</x:v>
      </x:c>
      <x:c r="I241" s="2" t="n">
        <x:v>60.03007765222271</x:v>
      </x:c>
      <x:c r="J241" s="2" t="n">
        <x:v>60.07892209098171</x:v>
      </x:c>
      <x:c r="K241" s="2" t="n">
        <x:v>0</x:v>
      </x:c>
      <x:c r="L241" s="2" t="n">
        <x:v>0.0846524068613621</x:v>
      </x:c>
      <x:c r="M241" s="2" t="n">
        <x:v>0.1789551881049196</x:v>
      </x:c>
      <x:c r="N241" s="14" t="b">
        <x:v>0</x:v>
      </x:c>
      <x:c r="O241" s="14" t="b">
        <x:v>0</x:v>
      </x:c>
      <x:c r="P241" s="14" t="b">
        <x:v>0</x:v>
      </x:c>
      <x:c r="Q241" s="14" t="b">
        <x:v>0</x:v>
      </x:c>
      <x:c r="R241" s="14" t="b">
        <x:v>0</x:v>
      </x:c>
      <x:c r="S241" s="14" t="b">
        <x:v>0</x:v>
      </x:c>
    </x:row>
    <x:row r="242" ht="15" hidden="0" customHeight="1">
      <x:c r="A242" s="2" t="str">
        <x:v>SG-MC-08-2025062816</x:v>
      </x:c>
      <x:c r="B242" s="2" t="str">
        <x:v>2025-06-28 16:00:00</x:v>
      </x:c>
      <x:c r="C242" s="2" t="str">
        <x:v>MC-08</x:v>
      </x:c>
      <x:c r="D242" s="2" t="str">
        <x:v>PRD-D</x:v>
      </x:c>
      <x:c r="E242" s="2" t="n">
        <x:v>60.02668370935472</x:v>
      </x:c>
      <x:c r="F242" s="2" t="n">
        <x:v>0.0749943116657334</x:v>
      </x:c>
      <x:c r="G242" s="2" t="n">
        <x:v>5</x:v>
      </x:c>
      <x:c r="H242" s="2" t="n">
        <x:v>59.9812332134637</x:v>
      </x:c>
      <x:c r="I242" s="2" t="n">
        <x:v>60.03007765222271</x:v>
      </x:c>
      <x:c r="J242" s="2" t="n">
        <x:v>60.07892209098171</x:v>
      </x:c>
      <x:c r="K242" s="2" t="n">
        <x:v>0</x:v>
      </x:c>
      <x:c r="L242" s="2" t="n">
        <x:v>0.0846524068613621</x:v>
      </x:c>
      <x:c r="M242" s="2" t="n">
        <x:v>0.1789551881049196</x:v>
      </x:c>
      <x:c r="N242" s="14" t="b">
        <x:v>0</x:v>
      </x:c>
      <x:c r="O242" s="14" t="b">
        <x:v>0</x:v>
      </x:c>
      <x:c r="P242" s="14" t="b">
        <x:v>0</x:v>
      </x:c>
      <x:c r="Q242" s="14" t="b">
        <x:v>0</x:v>
      </x:c>
      <x:c r="R242" s="14" t="b">
        <x:v>0</x:v>
      </x:c>
      <x:c r="S242" s="14" t="b">
        <x:v>0</x:v>
      </x:c>
    </x:row>
    <x:row r="243" ht="15" hidden="0" customHeight="1">
      <x:c r="A243" s="2" t="str">
        <x:v>SG-MC-07-2025062816</x:v>
      </x:c>
      <x:c r="B243" s="2" t="str">
        <x:v>2025-06-28 16:00:00</x:v>
      </x:c>
      <x:c r="C243" s="2" t="str">
        <x:v>MC-07</x:v>
      </x:c>
      <x:c r="D243" s="2" t="str">
        <x:v>PRD-C</x:v>
      </x:c>
      <x:c r="E243" s="2" t="n">
        <x:v>42.014811325778375</x:v>
      </x:c>
      <x:c r="F243" s="2" t="n">
        <x:v>0.0964072746125452</x:v>
      </x:c>
      <x:c r="G243" s="2" t="n">
        <x:v>5</x:v>
      </x:c>
      <x:c r="H243" s="2" t="n">
        <x:v>41.98128274145005</x:v>
      </x:c>
      <x:c r="I243" s="2" t="n">
        <x:v>42.03038150785648</x:v>
      </x:c>
      <x:c r="J243" s="2" t="n">
        <x:v>42.0794802742629</x:v>
      </x:c>
      <x:c r="K243" s="2" t="n">
        <x:v>0</x:v>
      </x:c>
      <x:c r="L243" s="2" t="n">
        <x:v>0.0850931826801104</x:v>
      </x:c>
      <x:c r="M243" s="2" t="n">
        <x:v>0.1798869881857533</x:v>
      </x:c>
      <x:c r="N243" s="14" t="b">
        <x:v>0</x:v>
      </x:c>
      <x:c r="O243" s="14" t="b">
        <x:v>0</x:v>
      </x:c>
      <x:c r="P243" s="14" t="b">
        <x:v>0</x:v>
      </x:c>
      <x:c r="Q243" s="14" t="b">
        <x:v>0</x:v>
      </x:c>
      <x:c r="R243" s="14" t="b">
        <x:v>0</x:v>
      </x:c>
      <x:c r="S243" s="14" t="b">
        <x:v>0</x:v>
      </x:c>
    </x:row>
    <x:row r="244" ht="15" hidden="0" customHeight="1">
      <x:c r="A244" s="2" t="str">
        <x:v>SG-MC-10-2025062816</x:v>
      </x:c>
      <x:c r="B244" s="2" t="str">
        <x:v>2025-06-28 16:00:00</x:v>
      </x:c>
      <x:c r="C244" s="2" t="str">
        <x:v>MC-10</x:v>
      </x:c>
      <x:c r="D244" s="2" t="str">
        <x:v>PRD-B</x:v>
      </x:c>
      <x:c r="E244" s="2" t="n">
        <x:v>80.05511629895157</x:v>
      </x:c>
      <x:c r="F244" s="2" t="n">
        <x:v>0.127581575124779</x:v>
      </x:c>
      <x:c r="G244" s="2" t="n">
        <x:v>5</x:v>
      </x:c>
      <x:c r="H244" s="2" t="n">
        <x:v>79.98133298727322</x:v>
      </x:c>
      <x:c r="I244" s="2" t="n">
        <x:v>80.02998001088412</x:v>
      </x:c>
      <x:c r="J244" s="2" t="n">
        <x:v>80.07862703449501</x:v>
      </x:c>
      <x:c r="K244" s="2" t="n">
        <x:v>0</x:v>
      </x:c>
      <x:c r="L244" s="2" t="n">
        <x:v>0.0843102662233807</x:v>
      </x:c>
      <x:c r="M244" s="2" t="n">
        <x:v>0.1782319027962268</x:v>
      </x:c>
      <x:c r="N244" s="14" t="b">
        <x:v>0</x:v>
      </x:c>
      <x:c r="O244" s="14" t="b">
        <x:v>0</x:v>
      </x:c>
      <x:c r="P244" s="14" t="b">
        <x:v>0</x:v>
      </x:c>
      <x:c r="Q244" s="14" t="b">
        <x:v>0</x:v>
      </x:c>
      <x:c r="R244" s="14" t="b">
        <x:v>0</x:v>
      </x:c>
      <x:c r="S244" s="14" t="b">
        <x:v>0</x:v>
      </x:c>
    </x:row>
    <x:row r="245" ht="15" hidden="0" customHeight="1">
      <x:c r="A245" s="2" t="str">
        <x:v>SG-MC-11-2025062816</x:v>
      </x:c>
      <x:c r="B245" s="2" t="str">
        <x:v>2025-06-28 16:00:00</x:v>
      </x:c>
      <x:c r="C245" s="2" t="str">
        <x:v>MC-11</x:v>
      </x:c>
      <x:c r="D245" s="2" t="str">
        <x:v>PRD-C</x:v>
      </x:c>
      <x:c r="E245" s="2" t="n">
        <x:v>41.98116647279884</x:v>
      </x:c>
      <x:c r="F245" s="2" t="n">
        <x:v>0.1208233114241466</x:v>
      </x:c>
      <x:c r="G245" s="2" t="n">
        <x:v>5</x:v>
      </x:c>
      <x:c r="H245" s="2" t="n">
        <x:v>41.98128274145005</x:v>
      </x:c>
      <x:c r="I245" s="2" t="n">
        <x:v>42.03038150785648</x:v>
      </x:c>
      <x:c r="J245" s="2" t="n">
        <x:v>42.0794802742629</x:v>
      </x:c>
      <x:c r="K245" s="2" t="n">
        <x:v>0</x:v>
      </x:c>
      <x:c r="L245" s="2" t="n">
        <x:v>0.0850931826801104</x:v>
      </x:c>
      <x:c r="M245" s="2" t="n">
        <x:v>0.1798869881857533</x:v>
      </x:c>
      <x:c r="N245" s="14" t="b">
        <x:v>1</x:v>
      </x:c>
      <x:c r="O245" s="14" t="b">
        <x:v>0</x:v>
      </x:c>
      <x:c r="P245" s="14" t="b">
        <x:v>0</x:v>
      </x:c>
      <x:c r="Q245" s="14" t="b">
        <x:v>0</x:v>
      </x:c>
      <x:c r="R245" s="14" t="b">
        <x:v>1</x:v>
      </x:c>
      <x:c r="S245" s="14" t="b">
        <x:v>0</x:v>
      </x:c>
    </x:row>
    <x:row r="246" ht="15" hidden="0" customHeight="1">
      <x:c r="A246" s="2" t="str">
        <x:v>SG-MC-01-2025062816</x:v>
      </x:c>
      <x:c r="B246" s="2" t="str">
        <x:v>2025-06-28 16:00:00</x:v>
      </x:c>
      <x:c r="C246" s="2" t="str">
        <x:v>MC-01</x:v>
      </x:c>
      <x:c r="D246" s="2" t="str">
        <x:v>PRD-A</x:v>
      </x:c>
      <x:c r="E246" s="2" t="n">
        <x:v>25.029096334476066</x:v>
      </x:c>
      <x:c r="F246" s="2" t="n">
        <x:v>0.1158525464088775</x:v>
      </x:c>
      <x:c r="G246" s="2" t="n">
        <x:v>5</x:v>
      </x:c>
      <x:c r="H246" s="2" t="n">
        <x:v>24.98096531359448</x:v>
      </x:c>
      <x:c r="I246" s="2" t="n">
        <x:v>25.029746559290437</x:v>
      </x:c>
      <x:c r="J246" s="2" t="n">
        <x:v>25.07852780498639</x:v>
      </x:c>
      <x:c r="K246" s="2" t="n">
        <x:v>0</x:v>
      </x:c>
      <x:c r="L246" s="2" t="n">
        <x:v>0.0845428868214142</x:v>
      </x:c>
      <x:c r="M246" s="2" t="n">
        <x:v>0.1787236627404697</x:v>
      </x:c>
      <x:c r="N246" s="14" t="b">
        <x:v>0</x:v>
      </x:c>
      <x:c r="O246" s="14" t="b">
        <x:v>0</x:v>
      </x:c>
      <x:c r="P246" s="14" t="b">
        <x:v>0</x:v>
      </x:c>
      <x:c r="Q246" s="14" t="b">
        <x:v>0</x:v>
      </x:c>
      <x:c r="R246" s="14" t="b">
        <x:v>0</x:v>
      </x:c>
      <x:c r="S246" s="14" t="b">
        <x:v>0</x:v>
      </x:c>
    </x:row>
    <x:row r="247" ht="15" hidden="0" customHeight="1">
      <x:c r="A247" s="2" t="str">
        <x:v>SG-MC-09-2025062816</x:v>
      </x:c>
      <x:c r="B247" s="2" t="str">
        <x:v>2025-06-28 16:00:00</x:v>
      </x:c>
      <x:c r="C247" s="2" t="str">
        <x:v>MC-09</x:v>
      </x:c>
      <x:c r="D247" s="2" t="str">
        <x:v>PRD-A</x:v>
      </x:c>
      <x:c r="E247" s="2" t="n">
        <x:v>25.051757845839763</x:v>
      </x:c>
      <x:c r="F247" s="2" t="n">
        <x:v>0.058157413791168</x:v>
      </x:c>
      <x:c r="G247" s="2" t="n">
        <x:v>5</x:v>
      </x:c>
      <x:c r="H247" s="2" t="n">
        <x:v>24.98096531359448</x:v>
      </x:c>
      <x:c r="I247" s="2" t="n">
        <x:v>25.029746559290437</x:v>
      </x:c>
      <x:c r="J247" s="2" t="n">
        <x:v>25.07852780498639</x:v>
      </x:c>
      <x:c r="K247" s="2" t="n">
        <x:v>0</x:v>
      </x:c>
      <x:c r="L247" s="2" t="n">
        <x:v>0.0845428868214142</x:v>
      </x:c>
      <x:c r="M247" s="2" t="n">
        <x:v>0.1787236627404697</x:v>
      </x:c>
      <x:c r="N247" s="14" t="b">
        <x:v>0</x:v>
      </x:c>
      <x:c r="O247" s="14" t="b">
        <x:v>0</x:v>
      </x:c>
      <x:c r="P247" s="14" t="b">
        <x:v>0</x:v>
      </x:c>
      <x:c r="Q247" s="14" t="b">
        <x:v>0</x:v>
      </x:c>
      <x:c r="R247" s="14" t="b">
        <x:v>0</x:v>
      </x:c>
      <x:c r="S247" s="14" t="b">
        <x:v>0</x:v>
      </x:c>
    </x:row>
    <x:row r="248" ht="15" hidden="0" customHeight="1">
      <x:c r="A248" s="2" t="str">
        <x:v>SG-MC-05-2025062816</x:v>
      </x:c>
      <x:c r="B248" s="2" t="str">
        <x:v>2025-06-28 16:00:00</x:v>
      </x:c>
      <x:c r="C248" s="2" t="str">
        <x:v>MC-05</x:v>
      </x:c>
      <x:c r="D248" s="2" t="str">
        <x:v>PRD-A</x:v>
      </x:c>
      <x:c r="E248" s="2" t="n">
        <x:v>25.06375669403792</x:v>
      </x:c>
      <x:c r="F248" s="2" t="n">
        <x:v>0.0683417557529502</x:v>
      </x:c>
      <x:c r="G248" s="2" t="n">
        <x:v>5</x:v>
      </x:c>
      <x:c r="H248" s="2" t="n">
        <x:v>24.98096531359448</x:v>
      </x:c>
      <x:c r="I248" s="2" t="n">
        <x:v>25.029746559290437</x:v>
      </x:c>
      <x:c r="J248" s="2" t="n">
        <x:v>25.07852780498639</x:v>
      </x:c>
      <x:c r="K248" s="2" t="n">
        <x:v>0</x:v>
      </x:c>
      <x:c r="L248" s="2" t="n">
        <x:v>0.0845428868214142</x:v>
      </x:c>
      <x:c r="M248" s="2" t="n">
        <x:v>0.1787236627404697</x:v>
      </x:c>
      <x:c r="N248" s="14" t="b">
        <x:v>0</x:v>
      </x:c>
      <x:c r="O248" s="14" t="b">
        <x:v>0</x:v>
      </x:c>
      <x:c r="P248" s="14" t="b">
        <x:v>0</x:v>
      </x:c>
      <x:c r="Q248" s="14" t="b">
        <x:v>0</x:v>
      </x:c>
      <x:c r="R248" s="14" t="b">
        <x:v>0</x:v>
      </x:c>
      <x:c r="S248" s="14" t="b">
        <x:v>0</x:v>
      </x:c>
    </x:row>
    <x:row r="249" ht="15" hidden="0" customHeight="1">
      <x:c r="A249" s="2" t="str">
        <x:v>SG-MC-02-2025062816</x:v>
      </x:c>
      <x:c r="B249" s="2" t="str">
        <x:v>2025-06-28 16:00:00</x:v>
      </x:c>
      <x:c r="C249" s="2" t="str">
        <x:v>MC-02</x:v>
      </x:c>
      <x:c r="D249" s="2" t="str">
        <x:v>PRD-B</x:v>
      </x:c>
      <x:c r="E249" s="2" t="n">
        <x:v>80.04237252103052</x:v>
      </x:c>
      <x:c r="F249" s="2" t="n">
        <x:v>0.0687087485092519</x:v>
      </x:c>
      <x:c r="G249" s="2" t="n">
        <x:v>5</x:v>
      </x:c>
      <x:c r="H249" s="2" t="n">
        <x:v>79.98133298727322</x:v>
      </x:c>
      <x:c r="I249" s="2" t="n">
        <x:v>80.02998001088412</x:v>
      </x:c>
      <x:c r="J249" s="2" t="n">
        <x:v>80.07862703449501</x:v>
      </x:c>
      <x:c r="K249" s="2" t="n">
        <x:v>0</x:v>
      </x:c>
      <x:c r="L249" s="2" t="n">
        <x:v>0.0843102662233807</x:v>
      </x:c>
      <x:c r="M249" s="2" t="n">
        <x:v>0.1782319027962268</x:v>
      </x:c>
      <x:c r="N249" s="14" t="b">
        <x:v>0</x:v>
      </x:c>
      <x:c r="O249" s="14" t="b">
        <x:v>0</x:v>
      </x:c>
      <x:c r="P249" s="14" t="b">
        <x:v>0</x:v>
      </x:c>
      <x:c r="Q249" s="14" t="b">
        <x:v>0</x:v>
      </x:c>
      <x:c r="R249" s="14" t="b">
        <x:v>0</x:v>
      </x:c>
      <x:c r="S249" s="14" t="b">
        <x:v>0</x:v>
      </x:c>
    </x:row>
    <x:row r="250" ht="15" hidden="0" customHeight="1">
      <x:c r="A250" s="2" t="str">
        <x:v>SG-MC-01-2025062900</x:v>
      </x:c>
      <x:c r="B250" s="2" t="str">
        <x:v>2025-06-29 00:00:00</x:v>
      </x:c>
      <x:c r="C250" s="2" t="str">
        <x:v>MC-01</x:v>
      </x:c>
      <x:c r="D250" s="2" t="str">
        <x:v>PRD-A</x:v>
      </x:c>
      <x:c r="E250" s="2" t="n">
        <x:v>24.99571867924918</x:v>
      </x:c>
      <x:c r="F250" s="2" t="n">
        <x:v>0.1044238547741294</x:v>
      </x:c>
      <x:c r="G250" s="2" t="n">
        <x:v>5</x:v>
      </x:c>
      <x:c r="H250" s="2" t="n">
        <x:v>24.98096531359448</x:v>
      </x:c>
      <x:c r="I250" s="2" t="n">
        <x:v>25.029746559290437</x:v>
      </x:c>
      <x:c r="J250" s="2" t="n">
        <x:v>25.07852780498639</x:v>
      </x:c>
      <x:c r="K250" s="2" t="n">
        <x:v>0</x:v>
      </x:c>
      <x:c r="L250" s="2" t="n">
        <x:v>0.0845428868214142</x:v>
      </x:c>
      <x:c r="M250" s="2" t="n">
        <x:v>0.1787236627404697</x:v>
      </x:c>
      <x:c r="N250" s="14" t="b">
        <x:v>0</x:v>
      </x:c>
      <x:c r="O250" s="14" t="b">
        <x:v>0</x:v>
      </x:c>
      <x:c r="P250" s="14" t="b">
        <x:v>0</x:v>
      </x:c>
      <x:c r="Q250" s="14" t="b">
        <x:v>0</x:v>
      </x:c>
      <x:c r="R250" s="14" t="b">
        <x:v>0</x:v>
      </x:c>
      <x:c r="S250" s="14" t="b">
        <x:v>0</x:v>
      </x:c>
    </x:row>
    <x:row r="251" ht="15" hidden="0" customHeight="1">
      <x:c r="A251" s="2" t="str">
        <x:v>SG-MC-09-2025062900</x:v>
      </x:c>
      <x:c r="B251" s="2" t="str">
        <x:v>2025-06-29 00:00:00</x:v>
      </x:c>
      <x:c r="C251" s="2" t="str">
        <x:v>MC-09</x:v>
      </x:c>
      <x:c r="D251" s="2" t="str">
        <x:v>PRD-A</x:v>
      </x:c>
      <x:c r="E251" s="2" t="n">
        <x:v>25.02113823430376</x:v>
      </x:c>
      <x:c r="F251" s="2" t="n">
        <x:v>0.0810128902709585</x:v>
      </x:c>
      <x:c r="G251" s="2" t="n">
        <x:v>5</x:v>
      </x:c>
      <x:c r="H251" s="2" t="n">
        <x:v>24.98096531359448</x:v>
      </x:c>
      <x:c r="I251" s="2" t="n">
        <x:v>25.029746559290437</x:v>
      </x:c>
      <x:c r="J251" s="2" t="n">
        <x:v>25.07852780498639</x:v>
      </x:c>
      <x:c r="K251" s="2" t="n">
        <x:v>0</x:v>
      </x:c>
      <x:c r="L251" s="2" t="n">
        <x:v>0.0845428868214142</x:v>
      </x:c>
      <x:c r="M251" s="2" t="n">
        <x:v>0.1787236627404697</x:v>
      </x:c>
      <x:c r="N251" s="14" t="b">
        <x:v>0</x:v>
      </x:c>
      <x:c r="O251" s="14" t="b">
        <x:v>0</x:v>
      </x:c>
      <x:c r="P251" s="14" t="b">
        <x:v>0</x:v>
      </x:c>
      <x:c r="Q251" s="14" t="b">
        <x:v>0</x:v>
      </x:c>
      <x:c r="R251" s="14" t="b">
        <x:v>0</x:v>
      </x:c>
      <x:c r="S251" s="14" t="b">
        <x:v>0</x:v>
      </x:c>
    </x:row>
    <x:row r="252" ht="15" hidden="0" customHeight="1">
      <x:c r="A252" s="2" t="str">
        <x:v>SG-MC-05-2025062900</x:v>
      </x:c>
      <x:c r="B252" s="2" t="str">
        <x:v>2025-06-29 00:00:00</x:v>
      </x:c>
      <x:c r="C252" s="2" t="str">
        <x:v>MC-05</x:v>
      </x:c>
      <x:c r="D252" s="2" t="str">
        <x:v>PRD-A</x:v>
      </x:c>
      <x:c r="E252" s="2" t="n">
        <x:v>25.09932685315717</x:v>
      </x:c>
      <x:c r="F252" s="2" t="n">
        <x:v>0.0862422630351282</x:v>
      </x:c>
      <x:c r="G252" s="2" t="n">
        <x:v>5</x:v>
      </x:c>
      <x:c r="H252" s="2" t="n">
        <x:v>24.98096531359448</x:v>
      </x:c>
      <x:c r="I252" s="2" t="n">
        <x:v>25.029746559290437</x:v>
      </x:c>
      <x:c r="J252" s="2" t="n">
        <x:v>25.07852780498639</x:v>
      </x:c>
      <x:c r="K252" s="2" t="n">
        <x:v>0</x:v>
      </x:c>
      <x:c r="L252" s="2" t="n">
        <x:v>0.0845428868214142</x:v>
      </x:c>
      <x:c r="M252" s="2" t="n">
        <x:v>0.1787236627404697</x:v>
      </x:c>
      <x:c r="N252" s="14" t="b">
        <x:v>1</x:v>
      </x:c>
      <x:c r="O252" s="14" t="b">
        <x:v>1</x:v>
      </x:c>
      <x:c r="P252" s="14" t="b">
        <x:v>1</x:v>
      </x:c>
      <x:c r="Q252" s="14" t="b">
        <x:v>0</x:v>
      </x:c>
      <x:c r="R252" s="14" t="b">
        <x:v>1</x:v>
      </x:c>
      <x:c r="S252" s="14" t="b">
        <x:v>0</x:v>
      </x:c>
    </x:row>
    <x:row r="253" ht="15" hidden="0" customHeight="1">
      <x:c r="A253" s="2" t="str">
        <x:v>SG-MC-08-2025062900</x:v>
      </x:c>
      <x:c r="B253" s="2" t="str">
        <x:v>2025-06-29 00:00:00</x:v>
      </x:c>
      <x:c r="C253" s="2" t="str">
        <x:v>MC-08</x:v>
      </x:c>
      <x:c r="D253" s="2" t="str">
        <x:v>PRD-D</x:v>
      </x:c>
      <x:c r="E253" s="2" t="n">
        <x:v>60.03757045952917</x:v>
      </x:c>
      <x:c r="F253" s="2" t="n">
        <x:v>0.0485990707590247</x:v>
      </x:c>
      <x:c r="G253" s="2" t="n">
        <x:v>5</x:v>
      </x:c>
      <x:c r="H253" s="2" t="n">
        <x:v>59.9812332134637</x:v>
      </x:c>
      <x:c r="I253" s="2" t="n">
        <x:v>60.03007765222271</x:v>
      </x:c>
      <x:c r="J253" s="2" t="n">
        <x:v>60.07892209098171</x:v>
      </x:c>
      <x:c r="K253" s="2" t="n">
        <x:v>0</x:v>
      </x:c>
      <x:c r="L253" s="2" t="n">
        <x:v>0.0846524068613621</x:v>
      </x:c>
      <x:c r="M253" s="2" t="n">
        <x:v>0.1789551881049196</x:v>
      </x:c>
      <x:c r="N253" s="14" t="b">
        <x:v>0</x:v>
      </x:c>
      <x:c r="O253" s="14" t="b">
        <x:v>0</x:v>
      </x:c>
      <x:c r="P253" s="14" t="b">
        <x:v>0</x:v>
      </x:c>
      <x:c r="Q253" s="14" t="b">
        <x:v>0</x:v>
      </x:c>
      <x:c r="R253" s="14" t="b">
        <x:v>0</x:v>
      </x:c>
      <x:c r="S253" s="14" t="b">
        <x:v>0</x:v>
      </x:c>
    </x:row>
    <x:row r="254" ht="15" hidden="0" customHeight="1">
      <x:c r="A254" s="2" t="str">
        <x:v>SG-MC-07-2025062900</x:v>
      </x:c>
      <x:c r="B254" s="2" t="str">
        <x:v>2025-06-29 00:00:00</x:v>
      </x:c>
      <x:c r="C254" s="2" t="str">
        <x:v>MC-07</x:v>
      </x:c>
      <x:c r="D254" s="2" t="str">
        <x:v>PRD-C</x:v>
      </x:c>
      <x:c r="E254" s="2" t="n">
        <x:v>41.97751856885289</x:v>
      </x:c>
      <x:c r="F254" s="2" t="n">
        <x:v>0.0817790255300181</x:v>
      </x:c>
      <x:c r="G254" s="2" t="n">
        <x:v>5</x:v>
      </x:c>
      <x:c r="H254" s="2" t="n">
        <x:v>41.98128274145005</x:v>
      </x:c>
      <x:c r="I254" s="2" t="n">
        <x:v>42.03038150785648</x:v>
      </x:c>
      <x:c r="J254" s="2" t="n">
        <x:v>42.0794802742629</x:v>
      </x:c>
      <x:c r="K254" s="2" t="n">
        <x:v>0</x:v>
      </x:c>
      <x:c r="L254" s="2" t="n">
        <x:v>0.0850931826801104</x:v>
      </x:c>
      <x:c r="M254" s="2" t="n">
        <x:v>0.1798869881857533</x:v>
      </x:c>
      <x:c r="N254" s="14" t="b">
        <x:v>1</x:v>
      </x:c>
      <x:c r="O254" s="14" t="b">
        <x:v>0</x:v>
      </x:c>
      <x:c r="P254" s="14" t="b">
        <x:v>0</x:v>
      </x:c>
      <x:c r="Q254" s="14" t="b">
        <x:v>0</x:v>
      </x:c>
      <x:c r="R254" s="14" t="b">
        <x:v>1</x:v>
      </x:c>
      <x:c r="S254" s="14" t="b">
        <x:v>0</x:v>
      </x:c>
    </x:row>
    <x:row r="255" ht="15" hidden="0" customHeight="1">
      <x:c r="A255" s="2" t="str">
        <x:v>SG-MC-11-2025062900</x:v>
      </x:c>
      <x:c r="B255" s="2" t="str">
        <x:v>2025-06-29 00:00:00</x:v>
      </x:c>
      <x:c r="C255" s="2" t="str">
        <x:v>MC-11</x:v>
      </x:c>
      <x:c r="D255" s="2" t="str">
        <x:v>PRD-C</x:v>
      </x:c>
      <x:c r="E255" s="2" t="n">
        <x:v>42.035863231719496</x:v>
      </x:c>
      <x:c r="F255" s="2" t="n">
        <x:v>0.0951216477025838</x:v>
      </x:c>
      <x:c r="G255" s="2" t="n">
        <x:v>5</x:v>
      </x:c>
      <x:c r="H255" s="2" t="n">
        <x:v>41.98128274145005</x:v>
      </x:c>
      <x:c r="I255" s="2" t="n">
        <x:v>42.03038150785648</x:v>
      </x:c>
      <x:c r="J255" s="2" t="n">
        <x:v>42.0794802742629</x:v>
      </x:c>
      <x:c r="K255" s="2" t="n">
        <x:v>0</x:v>
      </x:c>
      <x:c r="L255" s="2" t="n">
        <x:v>0.0850931826801104</x:v>
      </x:c>
      <x:c r="M255" s="2" t="n">
        <x:v>0.1798869881857533</x:v>
      </x:c>
      <x:c r="N255" s="14" t="b">
        <x:v>0</x:v>
      </x:c>
      <x:c r="O255" s="14" t="b">
        <x:v>0</x:v>
      </x:c>
      <x:c r="P255" s="14" t="b">
        <x:v>0</x:v>
      </x:c>
      <x:c r="Q255" s="14" t="b">
        <x:v>0</x:v>
      </x:c>
      <x:c r="R255" s="14" t="b">
        <x:v>0</x:v>
      </x:c>
      <x:c r="S255" s="14" t="b">
        <x:v>0</x:v>
      </x:c>
    </x:row>
    <x:row r="256" ht="15" hidden="0" customHeight="1">
      <x:c r="A256" s="2" t="str">
        <x:v>SG-MC-06-2025062900</x:v>
      </x:c>
      <x:c r="B256" s="2" t="str">
        <x:v>2025-06-29 00:00:00</x:v>
      </x:c>
      <x:c r="C256" s="2" t="str">
        <x:v>MC-06</x:v>
      </x:c>
      <x:c r="D256" s="2" t="str">
        <x:v>PRD-B</x:v>
      </x:c>
      <x:c r="E256" s="2" t="n">
        <x:v>79.9790288803668</x:v>
      </x:c>
      <x:c r="F256" s="2" t="n">
        <x:v>0.0547261864029451</x:v>
      </x:c>
      <x:c r="G256" s="2" t="n">
        <x:v>5</x:v>
      </x:c>
      <x:c r="H256" s="2" t="n">
        <x:v>79.98133298727322</x:v>
      </x:c>
      <x:c r="I256" s="2" t="n">
        <x:v>80.02998001088412</x:v>
      </x:c>
      <x:c r="J256" s="2" t="n">
        <x:v>80.07862703449501</x:v>
      </x:c>
      <x:c r="K256" s="2" t="n">
        <x:v>0</x:v>
      </x:c>
      <x:c r="L256" s="2" t="n">
        <x:v>0.0843102662233807</x:v>
      </x:c>
      <x:c r="M256" s="2" t="n">
        <x:v>0.1782319027962268</x:v>
      </x:c>
      <x:c r="N256" s="14" t="b">
        <x:v>1</x:v>
      </x:c>
      <x:c r="O256" s="14" t="b">
        <x:v>0</x:v>
      </x:c>
      <x:c r="P256" s="14" t="b">
        <x:v>0</x:v>
      </x:c>
      <x:c r="Q256" s="14" t="b">
        <x:v>0</x:v>
      </x:c>
      <x:c r="R256" s="14" t="b">
        <x:v>1</x:v>
      </x:c>
      <x:c r="S256" s="14" t="b">
        <x:v>0</x:v>
      </x:c>
    </x:row>
    <x:row r="257" ht="15" hidden="0" customHeight="1">
      <x:c r="A257" s="2" t="str">
        <x:v>SG-MC-02-2025062900</x:v>
      </x:c>
      <x:c r="B257" s="2" t="str">
        <x:v>2025-06-29 00:00:00</x:v>
      </x:c>
      <x:c r="C257" s="2" t="str">
        <x:v>MC-02</x:v>
      </x:c>
      <x:c r="D257" s="2" t="str">
        <x:v>PRD-B</x:v>
      </x:c>
      <x:c r="E257" s="2" t="n">
        <x:v>80.02178145130628</x:v>
      </x:c>
      <x:c r="F257" s="2" t="n">
        <x:v>0.047552421598354</x:v>
      </x:c>
      <x:c r="G257" s="2" t="n">
        <x:v>5</x:v>
      </x:c>
      <x:c r="H257" s="2" t="n">
        <x:v>79.98133298727322</x:v>
      </x:c>
      <x:c r="I257" s="2" t="n">
        <x:v>80.02998001088412</x:v>
      </x:c>
      <x:c r="J257" s="2" t="n">
        <x:v>80.07862703449501</x:v>
      </x:c>
      <x:c r="K257" s="2" t="n">
        <x:v>0</x:v>
      </x:c>
      <x:c r="L257" s="2" t="n">
        <x:v>0.0843102662233807</x:v>
      </x:c>
      <x:c r="M257" s="2" t="n">
        <x:v>0.1782319027962268</x:v>
      </x:c>
      <x:c r="N257" s="14" t="b">
        <x:v>0</x:v>
      </x:c>
      <x:c r="O257" s="14" t="b">
        <x:v>0</x:v>
      </x:c>
      <x:c r="P257" s="14" t="b">
        <x:v>0</x:v>
      </x:c>
      <x:c r="Q257" s="14" t="b">
        <x:v>0</x:v>
      </x:c>
      <x:c r="R257" s="14" t="b">
        <x:v>0</x:v>
      </x:c>
      <x:c r="S257" s="14" t="b">
        <x:v>0</x:v>
      </x:c>
    </x:row>
    <x:row r="258" ht="15" hidden="0" customHeight="1">
      <x:c r="A258" s="2" t="str">
        <x:v>SG-MC-12-2025062900</x:v>
      </x:c>
      <x:c r="B258" s="2" t="str">
        <x:v>2025-06-29 00:00:00</x:v>
      </x:c>
      <x:c r="C258" s="2" t="str">
        <x:v>MC-12</x:v>
      </x:c>
      <x:c r="D258" s="2" t="str">
        <x:v>PRD-D</x:v>
      </x:c>
      <x:c r="E258" s="2" t="n">
        <x:v>60.021900868255855</x:v>
      </x:c>
      <x:c r="F258" s="2" t="n">
        <x:v>0.0665952780890535</x:v>
      </x:c>
      <x:c r="G258" s="2" t="n">
        <x:v>5</x:v>
      </x:c>
      <x:c r="H258" s="2" t="n">
        <x:v>59.9812332134637</x:v>
      </x:c>
      <x:c r="I258" s="2" t="n">
        <x:v>60.03007765222271</x:v>
      </x:c>
      <x:c r="J258" s="2" t="n">
        <x:v>60.07892209098171</x:v>
      </x:c>
      <x:c r="K258" s="2" t="n">
        <x:v>0</x:v>
      </x:c>
      <x:c r="L258" s="2" t="n">
        <x:v>0.0846524068613621</x:v>
      </x:c>
      <x:c r="M258" s="2" t="n">
        <x:v>0.1789551881049196</x:v>
      </x:c>
      <x:c r="N258" s="14" t="b">
        <x:v>0</x:v>
      </x:c>
      <x:c r="O258" s="14" t="b">
        <x:v>0</x:v>
      </x:c>
      <x:c r="P258" s="14" t="b">
        <x:v>0</x:v>
      </x:c>
      <x:c r="Q258" s="14" t="b">
        <x:v>0</x:v>
      </x:c>
      <x:c r="R258" s="14" t="b">
        <x:v>0</x:v>
      </x:c>
      <x:c r="S258" s="14" t="b">
        <x:v>0</x:v>
      </x:c>
    </x:row>
    <x:row r="259" ht="15" hidden="0" customHeight="1">
      <x:c r="A259" s="2" t="str">
        <x:v>SG-MC-04-2025062900</x:v>
      </x:c>
      <x:c r="B259" s="2" t="str">
        <x:v>2025-06-29 00:00:00</x:v>
      </x:c>
      <x:c r="C259" s="2" t="str">
        <x:v>MC-04</x:v>
      </x:c>
      <x:c r="D259" s="2" t="str">
        <x:v>PRD-D</x:v>
      </x:c>
      <x:c r="E259" s="2" t="n">
        <x:v>60.01959678271281</x:v>
      </x:c>
      <x:c r="F259" s="2" t="n">
        <x:v>0.0961205582428732</x:v>
      </x:c>
      <x:c r="G259" s="2" t="n">
        <x:v>5</x:v>
      </x:c>
      <x:c r="H259" s="2" t="n">
        <x:v>59.9812332134637</x:v>
      </x:c>
      <x:c r="I259" s="2" t="n">
        <x:v>60.03007765222271</x:v>
      </x:c>
      <x:c r="J259" s="2" t="n">
        <x:v>60.07892209098171</x:v>
      </x:c>
      <x:c r="K259" s="2" t="n">
        <x:v>0</x:v>
      </x:c>
      <x:c r="L259" s="2" t="n">
        <x:v>0.0846524068613621</x:v>
      </x:c>
      <x:c r="M259" s="2" t="n">
        <x:v>0.1789551881049196</x:v>
      </x:c>
      <x:c r="N259" s="14" t="b">
        <x:v>0</x:v>
      </x:c>
      <x:c r="O259" s="14" t="b">
        <x:v>0</x:v>
      </x:c>
      <x:c r="P259" s="14" t="b">
        <x:v>0</x:v>
      </x:c>
      <x:c r="Q259" s="14" t="b">
        <x:v>0</x:v>
      </x:c>
      <x:c r="R259" s="14" t="b">
        <x:v>0</x:v>
      </x:c>
      <x:c r="S259" s="14" t="b">
        <x:v>0</x:v>
      </x:c>
    </x:row>
    <x:row r="260" ht="15" hidden="0" customHeight="1">
      <x:c r="A260" s="2" t="str">
        <x:v>SG-MC-03-2025062900</x:v>
      </x:c>
      <x:c r="B260" s="2" t="str">
        <x:v>2025-06-29 00:00:00</x:v>
      </x:c>
      <x:c r="C260" s="2" t="str">
        <x:v>MC-03</x:v>
      </x:c>
      <x:c r="D260" s="2" t="str">
        <x:v>PRD-C</x:v>
      </x:c>
      <x:c r="E260" s="2" t="n">
        <x:v>42.03849677779876</x:v>
      </x:c>
      <x:c r="F260" s="2" t="n">
        <x:v>0.1321640011725406</x:v>
      </x:c>
      <x:c r="G260" s="2" t="n">
        <x:v>5</x:v>
      </x:c>
      <x:c r="H260" s="2" t="n">
        <x:v>41.98128274145005</x:v>
      </x:c>
      <x:c r="I260" s="2" t="n">
        <x:v>42.03038150785648</x:v>
      </x:c>
      <x:c r="J260" s="2" t="n">
        <x:v>42.0794802742629</x:v>
      </x:c>
      <x:c r="K260" s="2" t="n">
        <x:v>0</x:v>
      </x:c>
      <x:c r="L260" s="2" t="n">
        <x:v>0.0850931826801104</x:v>
      </x:c>
      <x:c r="M260" s="2" t="n">
        <x:v>0.1798869881857533</x:v>
      </x:c>
      <x:c r="N260" s="14" t="b">
        <x:v>0</x:v>
      </x:c>
      <x:c r="O260" s="14" t="b">
        <x:v>0</x:v>
      </x:c>
      <x:c r="P260" s="14" t="b">
        <x:v>0</x:v>
      </x:c>
      <x:c r="Q260" s="14" t="b">
        <x:v>0</x:v>
      </x:c>
      <x:c r="R260" s="14" t="b">
        <x:v>0</x:v>
      </x:c>
      <x:c r="S260" s="14" t="b">
        <x:v>0</x:v>
      </x:c>
    </x:row>
    <x:row r="261" ht="15" hidden="0" customHeight="1">
      <x:c r="A261" s="2" t="str">
        <x:v>SG-MC-10-2025062900</x:v>
      </x:c>
      <x:c r="B261" s="2" t="str">
        <x:v>2025-06-29 00:00:00</x:v>
      </x:c>
      <x:c r="C261" s="2" t="str">
        <x:v>MC-10</x:v>
      </x:c>
      <x:c r="D261" s="2" t="str">
        <x:v>PRD-B</x:v>
      </x:c>
      <x:c r="E261" s="2" t="n">
        <x:v>80.05026968923578</x:v>
      </x:c>
      <x:c r="F261" s="2" t="n">
        <x:v>0.0460628499815527</x:v>
      </x:c>
      <x:c r="G261" s="2" t="n">
        <x:v>5</x:v>
      </x:c>
      <x:c r="H261" s="2" t="n">
        <x:v>79.98133298727322</x:v>
      </x:c>
      <x:c r="I261" s="2" t="n">
        <x:v>80.02998001088412</x:v>
      </x:c>
      <x:c r="J261" s="2" t="n">
        <x:v>80.07862703449501</x:v>
      </x:c>
      <x:c r="K261" s="2" t="n">
        <x:v>0</x:v>
      </x:c>
      <x:c r="L261" s="2" t="n">
        <x:v>0.0843102662233807</x:v>
      </x:c>
      <x:c r="M261" s="2" t="n">
        <x:v>0.1782319027962268</x:v>
      </x:c>
      <x:c r="N261" s="14" t="b">
        <x:v>0</x:v>
      </x:c>
      <x:c r="O261" s="14" t="b">
        <x:v>0</x:v>
      </x:c>
      <x:c r="P261" s="14" t="b">
        <x:v>0</x:v>
      </x:c>
      <x:c r="Q261" s="14" t="b">
        <x:v>0</x:v>
      </x:c>
      <x:c r="R261" s="14" t="b">
        <x:v>0</x:v>
      </x:c>
      <x:c r="S261" s="14" t="b">
        <x:v>0</x:v>
      </x:c>
    </x:row>
    <x:row r="262" ht="15" hidden="0" customHeight="1">
      <x:c r="A262" s="2" t="str">
        <x:v>SG-MC-03-2025062908</x:v>
      </x:c>
      <x:c r="B262" s="2" t="str">
        <x:v>2025-06-29 08:00:00</x:v>
      </x:c>
      <x:c r="C262" s="2" t="str">
        <x:v>MC-03</x:v>
      </x:c>
      <x:c r="D262" s="2" t="str">
        <x:v>PRD-C</x:v>
      </x:c>
      <x:c r="E262" s="2" t="n">
        <x:v>42.02624821883085</x:v>
      </x:c>
      <x:c r="F262" s="2" t="n">
        <x:v>0.1704739695735497</x:v>
      </x:c>
      <x:c r="G262" s="2" t="n">
        <x:v>5</x:v>
      </x:c>
      <x:c r="H262" s="2" t="n">
        <x:v>41.98128274145005</x:v>
      </x:c>
      <x:c r="I262" s="2" t="n">
        <x:v>42.03038150785648</x:v>
      </x:c>
      <x:c r="J262" s="2" t="n">
        <x:v>42.0794802742629</x:v>
      </x:c>
      <x:c r="K262" s="2" t="n">
        <x:v>0</x:v>
      </x:c>
      <x:c r="L262" s="2" t="n">
        <x:v>0.0850931826801104</x:v>
      </x:c>
      <x:c r="M262" s="2" t="n">
        <x:v>0.1798869881857533</x:v>
      </x:c>
      <x:c r="N262" s="14" t="b">
        <x:v>0</x:v>
      </x:c>
      <x:c r="O262" s="14" t="b">
        <x:v>0</x:v>
      </x:c>
      <x:c r="P262" s="14" t="b">
        <x:v>0</x:v>
      </x:c>
      <x:c r="Q262" s="14" t="b">
        <x:v>0</x:v>
      </x:c>
      <x:c r="R262" s="14" t="b">
        <x:v>0</x:v>
      </x:c>
      <x:c r="S262" s="14" t="b">
        <x:v>0</x:v>
      </x:c>
    </x:row>
    <x:row r="263" ht="15" hidden="0" customHeight="1">
      <x:c r="A263" s="2" t="str">
        <x:v>SG-MC-11-2025062908</x:v>
      </x:c>
      <x:c r="B263" s="2" t="str">
        <x:v>2025-06-29 08:00:00</x:v>
      </x:c>
      <x:c r="C263" s="2" t="str">
        <x:v>MC-11</x:v>
      </x:c>
      <x:c r="D263" s="2" t="str">
        <x:v>PRD-C</x:v>
      </x:c>
      <x:c r="E263" s="2" t="n">
        <x:v>41.95764038509552</x:v>
      </x:c>
      <x:c r="F263" s="2" t="n">
        <x:v>0.0735535894625343</x:v>
      </x:c>
      <x:c r="G263" s="2" t="n">
        <x:v>5</x:v>
      </x:c>
      <x:c r="H263" s="2" t="n">
        <x:v>41.98128274145005</x:v>
      </x:c>
      <x:c r="I263" s="2" t="n">
        <x:v>42.03038150785648</x:v>
      </x:c>
      <x:c r="J263" s="2" t="n">
        <x:v>42.0794802742629</x:v>
      </x:c>
      <x:c r="K263" s="2" t="n">
        <x:v>0</x:v>
      </x:c>
      <x:c r="L263" s="2" t="n">
        <x:v>0.0850931826801104</x:v>
      </x:c>
      <x:c r="M263" s="2" t="n">
        <x:v>0.1798869881857533</x:v>
      </x:c>
      <x:c r="N263" s="14" t="b">
        <x:v>1</x:v>
      </x:c>
      <x:c r="O263" s="14" t="b">
        <x:v>0</x:v>
      </x:c>
      <x:c r="P263" s="14" t="b">
        <x:v>0</x:v>
      </x:c>
      <x:c r="Q263" s="14" t="b">
        <x:v>0</x:v>
      </x:c>
      <x:c r="R263" s="14" t="b">
        <x:v>1</x:v>
      </x:c>
      <x:c r="S263" s="14" t="b">
        <x:v>0</x:v>
      </x:c>
    </x:row>
    <x:row r="264" ht="15" hidden="0" customHeight="1">
      <x:c r="A264" s="2" t="str">
        <x:v>SG-MC-07-2025062908</x:v>
      </x:c>
      <x:c r="B264" s="2" t="str">
        <x:v>2025-06-29 08:00:00</x:v>
      </x:c>
      <x:c r="C264" s="2" t="str">
        <x:v>MC-07</x:v>
      </x:c>
      <x:c r="D264" s="2" t="str">
        <x:v>PRD-C</x:v>
      </x:c>
      <x:c r="E264" s="2" t="n">
        <x:v>42.00924651830452</x:v>
      </x:c>
      <x:c r="F264" s="2" t="n">
        <x:v>0.0295218127113798</x:v>
      </x:c>
      <x:c r="G264" s="2" t="n">
        <x:v>5</x:v>
      </x:c>
      <x:c r="H264" s="2" t="n">
        <x:v>41.98128274145005</x:v>
      </x:c>
      <x:c r="I264" s="2" t="n">
        <x:v>42.03038150785648</x:v>
      </x:c>
      <x:c r="J264" s="2" t="n">
        <x:v>42.0794802742629</x:v>
      </x:c>
      <x:c r="K264" s="2" t="n">
        <x:v>0</x:v>
      </x:c>
      <x:c r="L264" s="2" t="n">
        <x:v>0.0850931826801104</x:v>
      </x:c>
      <x:c r="M264" s="2" t="n">
        <x:v>0.1798869881857533</x:v>
      </x:c>
      <x:c r="N264" s="14" t="b">
        <x:v>0</x:v>
      </x:c>
      <x:c r="O264" s="14" t="b">
        <x:v>0</x:v>
      </x:c>
      <x:c r="P264" s="14" t="b">
        <x:v>0</x:v>
      </x:c>
      <x:c r="Q264" s="14" t="b">
        <x:v>0</x:v>
      </x:c>
      <x:c r="R264" s="14" t="b">
        <x:v>0</x:v>
      </x:c>
      <x:c r="S264" s="14" t="b">
        <x:v>0</x:v>
      </x:c>
    </x:row>
    <x:row r="265" ht="15" hidden="0" customHeight="1">
      <x:c r="A265" s="2" t="str">
        <x:v>SG-MC-05-2025062908</x:v>
      </x:c>
      <x:c r="B265" s="2" t="str">
        <x:v>2025-06-29 08:00:00</x:v>
      </x:c>
      <x:c r="C265" s="2" t="str">
        <x:v>MC-05</x:v>
      </x:c>
      <x:c r="D265" s="2" t="str">
        <x:v>PRD-A</x:v>
      </x:c>
      <x:c r="E265" s="2" t="n">
        <x:v>25.07622487794567</x:v>
      </x:c>
      <x:c r="F265" s="2" t="n">
        <x:v>0.0855290926438741</x:v>
      </x:c>
      <x:c r="G265" s="2" t="n">
        <x:v>5</x:v>
      </x:c>
      <x:c r="H265" s="2" t="n">
        <x:v>24.98096531359448</x:v>
      </x:c>
      <x:c r="I265" s="2" t="n">
        <x:v>25.029746559290437</x:v>
      </x:c>
      <x:c r="J265" s="2" t="n">
        <x:v>25.07852780498639</x:v>
      </x:c>
      <x:c r="K265" s="2" t="n">
        <x:v>0</x:v>
      </x:c>
      <x:c r="L265" s="2" t="n">
        <x:v>0.0845428868214142</x:v>
      </x:c>
      <x:c r="M265" s="2" t="n">
        <x:v>0.1787236627404697</x:v>
      </x:c>
      <x:c r="N265" s="14" t="b">
        <x:v>0</x:v>
      </x:c>
      <x:c r="O265" s="14" t="b">
        <x:v>0</x:v>
      </x:c>
      <x:c r="P265" s="14" t="b">
        <x:v>0</x:v>
      </x:c>
      <x:c r="Q265" s="14" t="b">
        <x:v>0</x:v>
      </x:c>
      <x:c r="R265" s="14" t="b">
        <x:v>0</x:v>
      </x:c>
      <x:c r="S265" s="14" t="b">
        <x:v>0</x:v>
      </x:c>
    </x:row>
    <x:row r="266" ht="15" hidden="0" customHeight="1">
      <x:c r="A266" s="2" t="str">
        <x:v>SG-MC-04-2025062908</x:v>
      </x:c>
      <x:c r="B266" s="2" t="str">
        <x:v>2025-06-29 08:00:00</x:v>
      </x:c>
      <x:c r="C266" s="2" t="str">
        <x:v>MC-04</x:v>
      </x:c>
      <x:c r="D266" s="2" t="str">
        <x:v>PRD-D</x:v>
      </x:c>
      <x:c r="E266" s="2" t="n">
        <x:v>60.06940042212448</x:v>
      </x:c>
      <x:c r="F266" s="2" t="n">
        <x:v>0.1122893691048005</x:v>
      </x:c>
      <x:c r="G266" s="2" t="n">
        <x:v>5</x:v>
      </x:c>
      <x:c r="H266" s="2" t="n">
        <x:v>59.9812332134637</x:v>
      </x:c>
      <x:c r="I266" s="2" t="n">
        <x:v>60.03007765222271</x:v>
      </x:c>
      <x:c r="J266" s="2" t="n">
        <x:v>60.07892209098171</x:v>
      </x:c>
      <x:c r="K266" s="2" t="n">
        <x:v>0</x:v>
      </x:c>
      <x:c r="L266" s="2" t="n">
        <x:v>0.0846524068613621</x:v>
      </x:c>
      <x:c r="M266" s="2" t="n">
        <x:v>0.1789551881049196</x:v>
      </x:c>
      <x:c r="N266" s="14" t="b">
        <x:v>0</x:v>
      </x:c>
      <x:c r="O266" s="14" t="b">
        <x:v>0</x:v>
      </x:c>
      <x:c r="P266" s="14" t="b">
        <x:v>0</x:v>
      </x:c>
      <x:c r="Q266" s="14" t="b">
        <x:v>0</x:v>
      </x:c>
      <x:c r="R266" s="14" t="b">
        <x:v>0</x:v>
      </x:c>
      <x:c r="S266" s="14" t="b">
        <x:v>0</x:v>
      </x:c>
    </x:row>
    <x:row r="267" ht="15" hidden="0" customHeight="1">
      <x:c r="A267" s="2" t="str">
        <x:v>SG-MC-10-2025062908</x:v>
      </x:c>
      <x:c r="B267" s="2" t="str">
        <x:v>2025-06-29 08:00:00</x:v>
      </x:c>
      <x:c r="C267" s="2" t="str">
        <x:v>MC-10</x:v>
      </x:c>
      <x:c r="D267" s="2" t="str">
        <x:v>PRD-B</x:v>
      </x:c>
      <x:c r="E267" s="2" t="n">
        <x:v>80.05475533355386</x:v>
      </x:c>
      <x:c r="F267" s="2" t="n">
        <x:v>0.1236397734830916</x:v>
      </x:c>
      <x:c r="G267" s="2" t="n">
        <x:v>5</x:v>
      </x:c>
      <x:c r="H267" s="2" t="n">
        <x:v>79.98133298727322</x:v>
      </x:c>
      <x:c r="I267" s="2" t="n">
        <x:v>80.02998001088412</x:v>
      </x:c>
      <x:c r="J267" s="2" t="n">
        <x:v>80.07862703449501</x:v>
      </x:c>
      <x:c r="K267" s="2" t="n">
        <x:v>0</x:v>
      </x:c>
      <x:c r="L267" s="2" t="n">
        <x:v>0.0843102662233807</x:v>
      </x:c>
      <x:c r="M267" s="2" t="n">
        <x:v>0.1782319027962268</x:v>
      </x:c>
      <x:c r="N267" s="14" t="b">
        <x:v>0</x:v>
      </x:c>
      <x:c r="O267" s="14" t="b">
        <x:v>0</x:v>
      </x:c>
      <x:c r="P267" s="14" t="b">
        <x:v>0</x:v>
      </x:c>
      <x:c r="Q267" s="14" t="b">
        <x:v>0</x:v>
      </x:c>
      <x:c r="R267" s="14" t="b">
        <x:v>0</x:v>
      </x:c>
      <x:c r="S267" s="14" t="b">
        <x:v>0</x:v>
      </x:c>
    </x:row>
    <x:row r="268" ht="15" hidden="0" customHeight="1">
      <x:c r="A268" s="2" t="str">
        <x:v>SG-MC-02-2025062908</x:v>
      </x:c>
      <x:c r="B268" s="2" t="str">
        <x:v>2025-06-29 08:00:00</x:v>
      </x:c>
      <x:c r="C268" s="2" t="str">
        <x:v>MC-02</x:v>
      </x:c>
      <x:c r="D268" s="2" t="str">
        <x:v>PRD-B</x:v>
      </x:c>
      <x:c r="E268" s="2" t="n">
        <x:v>80.0082475505759</x:v>
      </x:c>
      <x:c r="F268" s="2" t="n">
        <x:v>0.1187481420310234</x:v>
      </x:c>
      <x:c r="G268" s="2" t="n">
        <x:v>5</x:v>
      </x:c>
      <x:c r="H268" s="2" t="n">
        <x:v>79.98133298727322</x:v>
      </x:c>
      <x:c r="I268" s="2" t="n">
        <x:v>80.02998001088412</x:v>
      </x:c>
      <x:c r="J268" s="2" t="n">
        <x:v>80.07862703449501</x:v>
      </x:c>
      <x:c r="K268" s="2" t="n">
        <x:v>0</x:v>
      </x:c>
      <x:c r="L268" s="2" t="n">
        <x:v>0.0843102662233807</x:v>
      </x:c>
      <x:c r="M268" s="2" t="n">
        <x:v>0.1782319027962268</x:v>
      </x:c>
      <x:c r="N268" s="14" t="b">
        <x:v>0</x:v>
      </x:c>
      <x:c r="O268" s="14" t="b">
        <x:v>0</x:v>
      </x:c>
      <x:c r="P268" s="14" t="b">
        <x:v>0</x:v>
      </x:c>
      <x:c r="Q268" s="14" t="b">
        <x:v>0</x:v>
      </x:c>
      <x:c r="R268" s="14" t="b">
        <x:v>0</x:v>
      </x:c>
      <x:c r="S268" s="14" t="b">
        <x:v>0</x:v>
      </x:c>
    </x:row>
    <x:row r="269" ht="15" hidden="0" customHeight="1">
      <x:c r="A269" s="2" t="str">
        <x:v>SG-MC-12-2025062908</x:v>
      </x:c>
      <x:c r="B269" s="2" t="str">
        <x:v>2025-06-29 08:00:00</x:v>
      </x:c>
      <x:c r="C269" s="2" t="str">
        <x:v>MC-12</x:v>
      </x:c>
      <x:c r="D269" s="2" t="str">
        <x:v>PRD-D</x:v>
      </x:c>
      <x:c r="E269" s="2" t="n">
        <x:v>60.046431769216426</x:v>
      </x:c>
      <x:c r="F269" s="2" t="n">
        <x:v>0.0952509652822968</x:v>
      </x:c>
      <x:c r="G269" s="2" t="n">
        <x:v>5</x:v>
      </x:c>
      <x:c r="H269" s="2" t="n">
        <x:v>59.9812332134637</x:v>
      </x:c>
      <x:c r="I269" s="2" t="n">
        <x:v>60.03007765222271</x:v>
      </x:c>
      <x:c r="J269" s="2" t="n">
        <x:v>60.07892209098171</x:v>
      </x:c>
      <x:c r="K269" s="2" t="n">
        <x:v>0</x:v>
      </x:c>
      <x:c r="L269" s="2" t="n">
        <x:v>0.0846524068613621</x:v>
      </x:c>
      <x:c r="M269" s="2" t="n">
        <x:v>0.1789551881049196</x:v>
      </x:c>
      <x:c r="N269" s="14" t="b">
        <x:v>0</x:v>
      </x:c>
      <x:c r="O269" s="14" t="b">
        <x:v>0</x:v>
      </x:c>
      <x:c r="P269" s="14" t="b">
        <x:v>0</x:v>
      </x:c>
      <x:c r="Q269" s="14" t="b">
        <x:v>0</x:v>
      </x:c>
      <x:c r="R269" s="14" t="b">
        <x:v>0</x:v>
      </x:c>
      <x:c r="S269" s="14" t="b">
        <x:v>0</x:v>
      </x:c>
    </x:row>
    <x:row r="270" ht="15" hidden="0" customHeight="1">
      <x:c r="A270" s="2" t="str">
        <x:v>SG-MC-09-2025062908</x:v>
      </x:c>
      <x:c r="B270" s="2" t="str">
        <x:v>2025-06-29 08:00:00</x:v>
      </x:c>
      <x:c r="C270" s="2" t="str">
        <x:v>MC-09</x:v>
      </x:c>
      <x:c r="D270" s="2" t="str">
        <x:v>PRD-A</x:v>
      </x:c>
      <x:c r="E270" s="2" t="n">
        <x:v>25.02191400378288</x:v>
      </x:c>
      <x:c r="F270" s="2" t="n">
        <x:v>0.1094507200718659</x:v>
      </x:c>
      <x:c r="G270" s="2" t="n">
        <x:v>5</x:v>
      </x:c>
      <x:c r="H270" s="2" t="n">
        <x:v>24.98096531359448</x:v>
      </x:c>
      <x:c r="I270" s="2" t="n">
        <x:v>25.029746559290437</x:v>
      </x:c>
      <x:c r="J270" s="2" t="n">
        <x:v>25.07852780498639</x:v>
      </x:c>
      <x:c r="K270" s="2" t="n">
        <x:v>0</x:v>
      </x:c>
      <x:c r="L270" s="2" t="n">
        <x:v>0.0845428868214142</x:v>
      </x:c>
      <x:c r="M270" s="2" t="n">
        <x:v>0.1787236627404697</x:v>
      </x:c>
      <x:c r="N270" s="14" t="b">
        <x:v>0</x:v>
      </x:c>
      <x:c r="O270" s="14" t="b">
        <x:v>0</x:v>
      </x:c>
      <x:c r="P270" s="14" t="b">
        <x:v>0</x:v>
      </x:c>
      <x:c r="Q270" s="14" t="b">
        <x:v>0</x:v>
      </x:c>
      <x:c r="R270" s="14" t="b">
        <x:v>0</x:v>
      </x:c>
      <x:c r="S270" s="14" t="b">
        <x:v>0</x:v>
      </x:c>
    </x:row>
    <x:row r="271" ht="15" hidden="0" customHeight="1">
      <x:c r="A271" s="2" t="str">
        <x:v>SG-MC-01-2025062908</x:v>
      </x:c>
      <x:c r="B271" s="2" t="str">
        <x:v>2025-06-29 08:00:00</x:v>
      </x:c>
      <x:c r="C271" s="2" t="str">
        <x:v>MC-01</x:v>
      </x:c>
      <x:c r="D271" s="2" t="str">
        <x:v>PRD-A</x:v>
      </x:c>
      <x:c r="E271" s="2" t="n">
        <x:v>24.98522113027834</x:v>
      </x:c>
      <x:c r="F271" s="2" t="n">
        <x:v>0.0520460643157036</x:v>
      </x:c>
      <x:c r="G271" s="2" t="n">
        <x:v>5</x:v>
      </x:c>
      <x:c r="H271" s="2" t="n">
        <x:v>24.98096531359448</x:v>
      </x:c>
      <x:c r="I271" s="2" t="n">
        <x:v>25.029746559290437</x:v>
      </x:c>
      <x:c r="J271" s="2" t="n">
        <x:v>25.07852780498639</x:v>
      </x:c>
      <x:c r="K271" s="2" t="n">
        <x:v>0</x:v>
      </x:c>
      <x:c r="L271" s="2" t="n">
        <x:v>0.0845428868214142</x:v>
      </x:c>
      <x:c r="M271" s="2" t="n">
        <x:v>0.1787236627404697</x:v>
      </x:c>
      <x:c r="N271" s="14" t="b">
        <x:v>0</x:v>
      </x:c>
      <x:c r="O271" s="14" t="b">
        <x:v>1</x:v>
      </x:c>
      <x:c r="P271" s="14" t="b">
        <x:v>0</x:v>
      </x:c>
      <x:c r="Q271" s="14" t="b">
        <x:v>0</x:v>
      </x:c>
      <x:c r="R271" s="14" t="b">
        <x:v>1</x:v>
      </x:c>
      <x:c r="S271" s="14" t="b">
        <x:v>0</x:v>
      </x:c>
    </x:row>
    <x:row r="272" ht="15" hidden="0" customHeight="1">
      <x:c r="A272" s="2" t="str">
        <x:v>SG-MC-08-2025062908</x:v>
      </x:c>
      <x:c r="B272" s="2" t="str">
        <x:v>2025-06-29 08:00:00</x:v>
      </x:c>
      <x:c r="C272" s="2" t="str">
        <x:v>MC-08</x:v>
      </x:c>
      <x:c r="D272" s="2" t="str">
        <x:v>PRD-D</x:v>
      </x:c>
      <x:c r="E272" s="2" t="n">
        <x:v>60.01647509368979</x:v>
      </x:c>
      <x:c r="F272" s="2" t="n">
        <x:v>0.0744300507926425</x:v>
      </x:c>
      <x:c r="G272" s="2" t="n">
        <x:v>5</x:v>
      </x:c>
      <x:c r="H272" s="2" t="n">
        <x:v>59.9812332134637</x:v>
      </x:c>
      <x:c r="I272" s="2" t="n">
        <x:v>60.03007765222271</x:v>
      </x:c>
      <x:c r="J272" s="2" t="n">
        <x:v>60.07892209098171</x:v>
      </x:c>
      <x:c r="K272" s="2" t="n">
        <x:v>0</x:v>
      </x:c>
      <x:c r="L272" s="2" t="n">
        <x:v>0.0846524068613621</x:v>
      </x:c>
      <x:c r="M272" s="2" t="n">
        <x:v>0.1789551881049196</x:v>
      </x:c>
      <x:c r="N272" s="14" t="b">
        <x:v>0</x:v>
      </x:c>
      <x:c r="O272" s="14" t="b">
        <x:v>0</x:v>
      </x:c>
      <x:c r="P272" s="14" t="b">
        <x:v>0</x:v>
      </x:c>
      <x:c r="Q272" s="14" t="b">
        <x:v>0</x:v>
      </x:c>
      <x:c r="R272" s="14" t="b">
        <x:v>0</x:v>
      </x:c>
      <x:c r="S272" s="14" t="b">
        <x:v>0</x:v>
      </x:c>
    </x:row>
    <x:row r="273" ht="15" hidden="0" customHeight="1">
      <x:c r="A273" s="2" t="str">
        <x:v>SG-MC-06-2025062908</x:v>
      </x:c>
      <x:c r="B273" s="2" t="str">
        <x:v>2025-06-29 08:00:00</x:v>
      </x:c>
      <x:c r="C273" s="2" t="str">
        <x:v>MC-06</x:v>
      </x:c>
      <x:c r="D273" s="2" t="str">
        <x:v>PRD-B</x:v>
      </x:c>
      <x:c r="E273" s="2" t="n">
        <x:v>79.99413625285376</x:v>
      </x:c>
      <x:c r="F273" s="2" t="n">
        <x:v>0.0766579321231262</x:v>
      </x:c>
      <x:c r="G273" s="2" t="n">
        <x:v>5</x:v>
      </x:c>
      <x:c r="H273" s="2" t="n">
        <x:v>79.98133298727322</x:v>
      </x:c>
      <x:c r="I273" s="2" t="n">
        <x:v>80.02998001088412</x:v>
      </x:c>
      <x:c r="J273" s="2" t="n">
        <x:v>80.07862703449501</x:v>
      </x:c>
      <x:c r="K273" s="2" t="n">
        <x:v>0</x:v>
      </x:c>
      <x:c r="L273" s="2" t="n">
        <x:v>0.0843102662233807</x:v>
      </x:c>
      <x:c r="M273" s="2" t="n">
        <x:v>0.1782319027962268</x:v>
      </x:c>
      <x:c r="N273" s="14" t="b">
        <x:v>0</x:v>
      </x:c>
      <x:c r="O273" s="14" t="b">
        <x:v>0</x:v>
      </x:c>
      <x:c r="P273" s="14" t="b">
        <x:v>0</x:v>
      </x:c>
      <x:c r="Q273" s="14" t="b">
        <x:v>0</x:v>
      </x:c>
      <x:c r="R273" s="14" t="b">
        <x:v>0</x:v>
      </x:c>
      <x:c r="S273" s="14" t="b">
        <x:v>0</x:v>
      </x:c>
    </x:row>
    <x:row r="274" ht="15" hidden="0" customHeight="1">
      <x:c r="A274" s="2" t="str">
        <x:v>SG-MC-04-2025062916</x:v>
      </x:c>
      <x:c r="B274" s="2" t="str">
        <x:v>2025-06-29 16:00:00</x:v>
      </x:c>
      <x:c r="C274" s="2" t="str">
        <x:v>MC-04</x:v>
      </x:c>
      <x:c r="D274" s="2" t="str">
        <x:v>PRD-D</x:v>
      </x:c>
      <x:c r="E274" s="2" t="n">
        <x:v>60.0240619166852</x:v>
      </x:c>
      <x:c r="F274" s="2" t="n">
        <x:v>0.1056173179794583</x:v>
      </x:c>
      <x:c r="G274" s="2" t="n">
        <x:v>5</x:v>
      </x:c>
      <x:c r="H274" s="2" t="n">
        <x:v>59.9812332134637</x:v>
      </x:c>
      <x:c r="I274" s="2" t="n">
        <x:v>60.03007765222271</x:v>
      </x:c>
      <x:c r="J274" s="2" t="n">
        <x:v>60.07892209098171</x:v>
      </x:c>
      <x:c r="K274" s="2" t="n">
        <x:v>0</x:v>
      </x:c>
      <x:c r="L274" s="2" t="n">
        <x:v>0.0846524068613621</x:v>
      </x:c>
      <x:c r="M274" s="2" t="n">
        <x:v>0.1789551881049196</x:v>
      </x:c>
      <x:c r="N274" s="14" t="b">
        <x:v>0</x:v>
      </x:c>
      <x:c r="O274" s="14" t="b">
        <x:v>0</x:v>
      </x:c>
      <x:c r="P274" s="14" t="b">
        <x:v>0</x:v>
      </x:c>
      <x:c r="Q274" s="14" t="b">
        <x:v>0</x:v>
      </x:c>
      <x:c r="R274" s="14" t="b">
        <x:v>0</x:v>
      </x:c>
      <x:c r="S274" s="14" t="b">
        <x:v>0</x:v>
      </x:c>
    </x:row>
    <x:row r="275" ht="15" hidden="0" customHeight="1">
      <x:c r="A275" s="2" t="str">
        <x:v>SG-MC-12-2025062916</x:v>
      </x:c>
      <x:c r="B275" s="2" t="str">
        <x:v>2025-06-29 16:00:00</x:v>
      </x:c>
      <x:c r="C275" s="2" t="str">
        <x:v>MC-12</x:v>
      </x:c>
      <x:c r="D275" s="2" t="str">
        <x:v>PRD-D</x:v>
      </x:c>
      <x:c r="E275" s="2" t="n">
        <x:v>60.01568100821987</x:v>
      </x:c>
      <x:c r="F275" s="2" t="n">
        <x:v>0.0878214561777497</x:v>
      </x:c>
      <x:c r="G275" s="2" t="n">
        <x:v>5</x:v>
      </x:c>
      <x:c r="H275" s="2" t="n">
        <x:v>59.9812332134637</x:v>
      </x:c>
      <x:c r="I275" s="2" t="n">
        <x:v>60.03007765222271</x:v>
      </x:c>
      <x:c r="J275" s="2" t="n">
        <x:v>60.07892209098171</x:v>
      </x:c>
      <x:c r="K275" s="2" t="n">
        <x:v>0</x:v>
      </x:c>
      <x:c r="L275" s="2" t="n">
        <x:v>0.0846524068613621</x:v>
      </x:c>
      <x:c r="M275" s="2" t="n">
        <x:v>0.1789551881049196</x:v>
      </x:c>
      <x:c r="N275" s="14" t="b">
        <x:v>0</x:v>
      </x:c>
      <x:c r="O275" s="14" t="b">
        <x:v>0</x:v>
      </x:c>
      <x:c r="P275" s="14" t="b">
        <x:v>0</x:v>
      </x:c>
      <x:c r="Q275" s="14" t="b">
        <x:v>0</x:v>
      </x:c>
      <x:c r="R275" s="14" t="b">
        <x:v>0</x:v>
      </x:c>
      <x:c r="S275" s="14" t="b">
        <x:v>0</x:v>
      </x:c>
    </x:row>
    <x:row r="276" ht="15" hidden="0" customHeight="1">
      <x:c r="A276" s="2" t="str">
        <x:v>SG-MC-05-2025062916</x:v>
      </x:c>
      <x:c r="B276" s="2" t="str">
        <x:v>2025-06-29 16:00:00</x:v>
      </x:c>
      <x:c r="C276" s="2" t="str">
        <x:v>MC-05</x:v>
      </x:c>
      <x:c r="D276" s="2" t="str">
        <x:v>PRD-A</x:v>
      </x:c>
      <x:c r="E276" s="2" t="n">
        <x:v>25.08233704020948</x:v>
      </x:c>
      <x:c r="F276" s="2" t="n">
        <x:v>0.1349262682922933</x:v>
      </x:c>
      <x:c r="G276" s="2" t="n">
        <x:v>5</x:v>
      </x:c>
      <x:c r="H276" s="2" t="n">
        <x:v>24.98096531359448</x:v>
      </x:c>
      <x:c r="I276" s="2" t="n">
        <x:v>25.029746559290437</x:v>
      </x:c>
      <x:c r="J276" s="2" t="n">
        <x:v>25.07852780498639</x:v>
      </x:c>
      <x:c r="K276" s="2" t="n">
        <x:v>0</x:v>
      </x:c>
      <x:c r="L276" s="2" t="n">
        <x:v>0.0845428868214142</x:v>
      </x:c>
      <x:c r="M276" s="2" t="n">
        <x:v>0.1787236627404697</x:v>
      </x:c>
      <x:c r="N276" s="14" t="b">
        <x:v>1</x:v>
      </x:c>
      <x:c r="O276" s="14" t="b">
        <x:v>1</x:v>
      </x:c>
      <x:c r="P276" s="14" t="b">
        <x:v>0</x:v>
      </x:c>
      <x:c r="Q276" s="14" t="b">
        <x:v>0</x:v>
      </x:c>
      <x:c r="R276" s="14" t="b">
        <x:v>1</x:v>
      </x:c>
      <x:c r="S276" s="14" t="b">
        <x:v>0</x:v>
      </x:c>
    </x:row>
    <x:row r="277" ht="15" hidden="0" customHeight="1">
      <x:c r="A277" s="2" t="str">
        <x:v>SG-MC-01-2025062916</x:v>
      </x:c>
      <x:c r="B277" s="2" t="str">
        <x:v>2025-06-29 16:00:00</x:v>
      </x:c>
      <x:c r="C277" s="2" t="str">
        <x:v>MC-01</x:v>
      </x:c>
      <x:c r="D277" s="2" t="str">
        <x:v>PRD-A</x:v>
      </x:c>
      <x:c r="E277" s="2" t="n">
        <x:v>25.023172941660555</x:v>
      </x:c>
      <x:c r="F277" s="2" t="n">
        <x:v>0.1294749700733</x:v>
      </x:c>
      <x:c r="G277" s="2" t="n">
        <x:v>5</x:v>
      </x:c>
      <x:c r="H277" s="2" t="n">
        <x:v>24.98096531359448</x:v>
      </x:c>
      <x:c r="I277" s="2" t="n">
        <x:v>25.029746559290437</x:v>
      </x:c>
      <x:c r="J277" s="2" t="n">
        <x:v>25.07852780498639</x:v>
      </x:c>
      <x:c r="K277" s="2" t="n">
        <x:v>0</x:v>
      </x:c>
      <x:c r="L277" s="2" t="n">
        <x:v>0.0845428868214142</x:v>
      </x:c>
      <x:c r="M277" s="2" t="n">
        <x:v>0.1787236627404697</x:v>
      </x:c>
      <x:c r="N277" s="14" t="b">
        <x:v>0</x:v>
      </x:c>
      <x:c r="O277" s="14" t="b">
        <x:v>1</x:v>
      </x:c>
      <x:c r="P277" s="14" t="b">
        <x:v>0</x:v>
      </x:c>
      <x:c r="Q277" s="14" t="b">
        <x:v>0</x:v>
      </x:c>
      <x:c r="R277" s="14" t="b">
        <x:v>1</x:v>
      </x:c>
      <x:c r="S277" s="14" t="b">
        <x:v>0</x:v>
      </x:c>
    </x:row>
    <x:row r="278" ht="15" hidden="0" customHeight="1">
      <x:c r="A278" s="2" t="str">
        <x:v>SG-MC-09-2025062916</x:v>
      </x:c>
      <x:c r="B278" s="2" t="str">
        <x:v>2025-06-29 16:00:00</x:v>
      </x:c>
      <x:c r="C278" s="2" t="str">
        <x:v>MC-09</x:v>
      </x:c>
      <x:c r="D278" s="2" t="str">
        <x:v>PRD-A</x:v>
      </x:c>
      <x:c r="E278" s="2" t="n">
        <x:v>25.033547543874786</x:v>
      </x:c>
      <x:c r="F278" s="2" t="n">
        <x:v>0.0742890625748629</x:v>
      </x:c>
      <x:c r="G278" s="2" t="n">
        <x:v>5</x:v>
      </x:c>
      <x:c r="H278" s="2" t="n">
        <x:v>24.98096531359448</x:v>
      </x:c>
      <x:c r="I278" s="2" t="n">
        <x:v>25.029746559290437</x:v>
      </x:c>
      <x:c r="J278" s="2" t="n">
        <x:v>25.07852780498639</x:v>
      </x:c>
      <x:c r="K278" s="2" t="n">
        <x:v>0</x:v>
      </x:c>
      <x:c r="L278" s="2" t="n">
        <x:v>0.0845428868214142</x:v>
      </x:c>
      <x:c r="M278" s="2" t="n">
        <x:v>0.1787236627404697</x:v>
      </x:c>
      <x:c r="N278" s="14" t="b">
        <x:v>0</x:v>
      </x:c>
      <x:c r="O278" s="14" t="b">
        <x:v>0</x:v>
      </x:c>
      <x:c r="P278" s="14" t="b">
        <x:v>0</x:v>
      </x:c>
      <x:c r="Q278" s="14" t="b">
        <x:v>0</x:v>
      </x:c>
      <x:c r="R278" s="14" t="b">
        <x:v>0</x:v>
      </x:c>
      <x:c r="S278" s="14" t="b">
        <x:v>0</x:v>
      </x:c>
    </x:row>
    <x:row r="279" ht="15" hidden="0" customHeight="1">
      <x:c r="A279" s="2" t="str">
        <x:v>SG-MC-06-2025062916</x:v>
      </x:c>
      <x:c r="B279" s="2" t="str">
        <x:v>2025-06-29 16:00:00</x:v>
      </x:c>
      <x:c r="C279" s="2" t="str">
        <x:v>MC-06</x:v>
      </x:c>
      <x:c r="D279" s="2" t="str">
        <x:v>PRD-B</x:v>
      </x:c>
      <x:c r="E279" s="2" t="n">
        <x:v>79.99621150983728</x:v>
      </x:c>
      <x:c r="F279" s="2" t="n">
        <x:v>0.0665470180409499</x:v>
      </x:c>
      <x:c r="G279" s="2" t="n">
        <x:v>5</x:v>
      </x:c>
      <x:c r="H279" s="2" t="n">
        <x:v>79.98133298727322</x:v>
      </x:c>
      <x:c r="I279" s="2" t="n">
        <x:v>80.02998001088412</x:v>
      </x:c>
      <x:c r="J279" s="2" t="n">
        <x:v>80.07862703449501</x:v>
      </x:c>
      <x:c r="K279" s="2" t="n">
        <x:v>0</x:v>
      </x:c>
      <x:c r="L279" s="2" t="n">
        <x:v>0.0843102662233807</x:v>
      </x:c>
      <x:c r="M279" s="2" t="n">
        <x:v>0.1782319027962268</x:v>
      </x:c>
      <x:c r="N279" s="14" t="b">
        <x:v>0</x:v>
      </x:c>
      <x:c r="O279" s="14" t="b">
        <x:v>1</x:v>
      </x:c>
      <x:c r="P279" s="14" t="b">
        <x:v>1</x:v>
      </x:c>
      <x:c r="Q279" s="14" t="b">
        <x:v>0</x:v>
      </x:c>
      <x:c r="R279" s="14" t="b">
        <x:v>1</x:v>
      </x:c>
      <x:c r="S279" s="14" t="b">
        <x:v>0</x:v>
      </x:c>
    </x:row>
    <x:row r="280" ht="15" hidden="0" customHeight="1">
      <x:c r="A280" s="2" t="str">
        <x:v>SG-MC-11-2025062916</x:v>
      </x:c>
      <x:c r="B280" s="2" t="str">
        <x:v>2025-06-29 16:00:00</x:v>
      </x:c>
      <x:c r="C280" s="2" t="str">
        <x:v>MC-11</x:v>
      </x:c>
      <x:c r="D280" s="2" t="str">
        <x:v>PRD-C</x:v>
      </x:c>
      <x:c r="E280" s="2" t="n">
        <x:v>41.98220990095152</x:v>
      </x:c>
      <x:c r="F280" s="2" t="n">
        <x:v>0.1184065854281044</x:v>
      </x:c>
      <x:c r="G280" s="2" t="n">
        <x:v>5</x:v>
      </x:c>
      <x:c r="H280" s="2" t="n">
        <x:v>41.98128274145005</x:v>
      </x:c>
      <x:c r="I280" s="2" t="n">
        <x:v>42.03038150785648</x:v>
      </x:c>
      <x:c r="J280" s="2" t="n">
        <x:v>42.0794802742629</x:v>
      </x:c>
      <x:c r="K280" s="2" t="n">
        <x:v>0</x:v>
      </x:c>
      <x:c r="L280" s="2" t="n">
        <x:v>0.0850931826801104</x:v>
      </x:c>
      <x:c r="M280" s="2" t="n">
        <x:v>0.1798869881857533</x:v>
      </x:c>
      <x:c r="N280" s="14" t="b">
        <x:v>0</x:v>
      </x:c>
      <x:c r="O280" s="14" t="b">
        <x:v>0</x:v>
      </x:c>
      <x:c r="P280" s="14" t="b">
        <x:v>0</x:v>
      </x:c>
      <x:c r="Q280" s="14" t="b">
        <x:v>0</x:v>
      </x:c>
      <x:c r="R280" s="14" t="b">
        <x:v>0</x:v>
      </x:c>
      <x:c r="S280" s="14" t="b">
        <x:v>0</x:v>
      </x:c>
    </x:row>
    <x:row r="281" ht="15" hidden="0" customHeight="1">
      <x:c r="A281" s="2" t="str">
        <x:v>SG-MC-07-2025062916</x:v>
      </x:c>
      <x:c r="B281" s="2" t="str">
        <x:v>2025-06-29 16:00:00</x:v>
      </x:c>
      <x:c r="C281" s="2" t="str">
        <x:v>MC-07</x:v>
      </x:c>
      <x:c r="D281" s="2" t="str">
        <x:v>PRD-C</x:v>
      </x:c>
      <x:c r="E281" s="2" t="n">
        <x:v>42.03221823306272</x:v>
      </x:c>
      <x:c r="F281" s="2" t="n">
        <x:v>0.0524528689394401</x:v>
      </x:c>
      <x:c r="G281" s="2" t="n">
        <x:v>5</x:v>
      </x:c>
      <x:c r="H281" s="2" t="n">
        <x:v>41.98128274145005</x:v>
      </x:c>
      <x:c r="I281" s="2" t="n">
        <x:v>42.03038150785648</x:v>
      </x:c>
      <x:c r="J281" s="2" t="n">
        <x:v>42.0794802742629</x:v>
      </x:c>
      <x:c r="K281" s="2" t="n">
        <x:v>0</x:v>
      </x:c>
      <x:c r="L281" s="2" t="n">
        <x:v>0.0850931826801104</x:v>
      </x:c>
      <x:c r="M281" s="2" t="n">
        <x:v>0.1798869881857533</x:v>
      </x:c>
      <x:c r="N281" s="14" t="b">
        <x:v>0</x:v>
      </x:c>
      <x:c r="O281" s="14" t="b">
        <x:v>0</x:v>
      </x:c>
      <x:c r="P281" s="14" t="b">
        <x:v>0</x:v>
      </x:c>
      <x:c r="Q281" s="14" t="b">
        <x:v>0</x:v>
      </x:c>
      <x:c r="R281" s="14" t="b">
        <x:v>0</x:v>
      </x:c>
      <x:c r="S281" s="14" t="b">
        <x:v>0</x:v>
      </x:c>
    </x:row>
    <x:row r="282" ht="15" hidden="0" customHeight="1">
      <x:c r="A282" s="2" t="str">
        <x:v>SG-MC-03-2025062916</x:v>
      </x:c>
      <x:c r="B282" s="2" t="str">
        <x:v>2025-06-29 16:00:00</x:v>
      </x:c>
      <x:c r="C282" s="2" t="str">
        <x:v>MC-03</x:v>
      </x:c>
      <x:c r="D282" s="2" t="str">
        <x:v>PRD-C</x:v>
      </x:c>
      <x:c r="E282" s="2" t="n">
        <x:v>42.03973471779866</x:v>
      </x:c>
      <x:c r="F282" s="2" t="n">
        <x:v>0.1245417636958876</x:v>
      </x:c>
      <x:c r="G282" s="2" t="n">
        <x:v>5</x:v>
      </x:c>
      <x:c r="H282" s="2" t="n">
        <x:v>41.98128274145005</x:v>
      </x:c>
      <x:c r="I282" s="2" t="n">
        <x:v>42.03038150785648</x:v>
      </x:c>
      <x:c r="J282" s="2" t="n">
        <x:v>42.0794802742629</x:v>
      </x:c>
      <x:c r="K282" s="2" t="n">
        <x:v>0</x:v>
      </x:c>
      <x:c r="L282" s="2" t="n">
        <x:v>0.0850931826801104</x:v>
      </x:c>
      <x:c r="M282" s="2" t="n">
        <x:v>0.1798869881857533</x:v>
      </x:c>
      <x:c r="N282" s="14" t="b">
        <x:v>0</x:v>
      </x:c>
      <x:c r="O282" s="14" t="b">
        <x:v>0</x:v>
      </x:c>
      <x:c r="P282" s="14" t="b">
        <x:v>0</x:v>
      </x:c>
      <x:c r="Q282" s="14" t="b">
        <x:v>0</x:v>
      </x:c>
      <x:c r="R282" s="14" t="b">
        <x:v>0</x:v>
      </x:c>
      <x:c r="S282" s="14" t="b">
        <x:v>0</x:v>
      </x:c>
    </x:row>
    <x:row r="283" ht="15" hidden="0" customHeight="1">
      <x:c r="A283" s="2" t="str">
        <x:v>SG-MC-02-2025062916</x:v>
      </x:c>
      <x:c r="B283" s="2" t="str">
        <x:v>2025-06-29 16:00:00</x:v>
      </x:c>
      <x:c r="C283" s="2" t="str">
        <x:v>MC-02</x:v>
      </x:c>
      <x:c r="D283" s="2" t="str">
        <x:v>PRD-B</x:v>
      </x:c>
      <x:c r="E283" s="2" t="n">
        <x:v>80.04811543135945</x:v>
      </x:c>
      <x:c r="F283" s="2" t="n">
        <x:v>0.108089312461189</x:v>
      </x:c>
      <x:c r="G283" s="2" t="n">
        <x:v>5</x:v>
      </x:c>
      <x:c r="H283" s="2" t="n">
        <x:v>79.98133298727322</x:v>
      </x:c>
      <x:c r="I283" s="2" t="n">
        <x:v>80.02998001088412</x:v>
      </x:c>
      <x:c r="J283" s="2" t="n">
        <x:v>80.07862703449501</x:v>
      </x:c>
      <x:c r="K283" s="2" t="n">
        <x:v>0</x:v>
      </x:c>
      <x:c r="L283" s="2" t="n">
        <x:v>0.0843102662233807</x:v>
      </x:c>
      <x:c r="M283" s="2" t="n">
        <x:v>0.1782319027962268</x:v>
      </x:c>
      <x:c r="N283" s="14" t="b">
        <x:v>0</x:v>
      </x:c>
      <x:c r="O283" s="14" t="b">
        <x:v>1</x:v>
      </x:c>
      <x:c r="P283" s="14" t="b">
        <x:v>0</x:v>
      </x:c>
      <x:c r="Q283" s="14" t="b">
        <x:v>0</x:v>
      </x:c>
      <x:c r="R283" s="14" t="b">
        <x:v>1</x:v>
      </x:c>
      <x:c r="S283" s="14" t="b">
        <x:v>0</x:v>
      </x:c>
    </x:row>
    <x:row r="284" ht="15" hidden="0" customHeight="1">
      <x:c r="A284" s="2" t="str">
        <x:v>SG-MC-10-2025062916</x:v>
      </x:c>
      <x:c r="B284" s="2" t="str">
        <x:v>2025-06-29 16:00:00</x:v>
      </x:c>
      <x:c r="C284" s="2" t="str">
        <x:v>MC-10</x:v>
      </x:c>
      <x:c r="D284" s="2" t="str">
        <x:v>PRD-B</x:v>
      </x:c>
      <x:c r="E284" s="2" t="n">
        <x:v>80.0304244433598</x:v>
      </x:c>
      <x:c r="F284" s="2" t="n">
        <x:v>0.1152624578360672</x:v>
      </x:c>
      <x:c r="G284" s="2" t="n">
        <x:v>5</x:v>
      </x:c>
      <x:c r="H284" s="2" t="n">
        <x:v>79.98133298727322</x:v>
      </x:c>
      <x:c r="I284" s="2" t="n">
        <x:v>80.02998001088412</x:v>
      </x:c>
      <x:c r="J284" s="2" t="n">
        <x:v>80.07862703449501</x:v>
      </x:c>
      <x:c r="K284" s="2" t="n">
        <x:v>0</x:v>
      </x:c>
      <x:c r="L284" s="2" t="n">
        <x:v>0.0843102662233807</x:v>
      </x:c>
      <x:c r="M284" s="2" t="n">
        <x:v>0.1782319027962268</x:v>
      </x:c>
      <x:c r="N284" s="14" t="b">
        <x:v>0</x:v>
      </x:c>
      <x:c r="O284" s="14" t="b">
        <x:v>0</x:v>
      </x:c>
      <x:c r="P284" s="14" t="b">
        <x:v>0</x:v>
      </x:c>
      <x:c r="Q284" s="14" t="b">
        <x:v>0</x:v>
      </x:c>
      <x:c r="R284" s="14" t="b">
        <x:v>0</x:v>
      </x:c>
      <x:c r="S284" s="14" t="b">
        <x:v>0</x:v>
      </x:c>
    </x:row>
    <x:row r="285" ht="15" hidden="0" customHeight="1">
      <x:c r="A285" s="2" t="str">
        <x:v>SG-MC-08-2025062916</x:v>
      </x:c>
      <x:c r="B285" s="2" t="str">
        <x:v>2025-06-29 16:00:00</x:v>
      </x:c>
      <x:c r="C285" s="2" t="str">
        <x:v>MC-08</x:v>
      </x:c>
      <x:c r="D285" s="2" t="str">
        <x:v>PRD-D</x:v>
      </x:c>
      <x:c r="E285" s="2" t="n">
        <x:v>60.0242594836417</x:v>
      </x:c>
      <x:c r="F285" s="2" t="n">
        <x:v>0.0724001894003834</x:v>
      </x:c>
      <x:c r="G285" s="2" t="n">
        <x:v>5</x:v>
      </x:c>
      <x:c r="H285" s="2" t="n">
        <x:v>59.9812332134637</x:v>
      </x:c>
      <x:c r="I285" s="2" t="n">
        <x:v>60.03007765222271</x:v>
      </x:c>
      <x:c r="J285" s="2" t="n">
        <x:v>60.07892209098171</x:v>
      </x:c>
      <x:c r="K285" s="2" t="n">
        <x:v>0</x:v>
      </x:c>
      <x:c r="L285" s="2" t="n">
        <x:v>0.0846524068613621</x:v>
      </x:c>
      <x:c r="M285" s="2" t="n">
        <x:v>0.1789551881049196</x:v>
      </x:c>
      <x:c r="N285" s="14" t="b">
        <x:v>0</x:v>
      </x:c>
      <x:c r="O285" s="14" t="b">
        <x:v>0</x:v>
      </x:c>
      <x:c r="P285" s="14" t="b">
        <x:v>0</x:v>
      </x:c>
      <x:c r="Q285" s="14" t="b">
        <x:v>0</x:v>
      </x:c>
      <x:c r="R285" s="14" t="b">
        <x:v>0</x:v>
      </x:c>
      <x:c r="S285" s="14" t="b">
        <x:v>0</x:v>
      </x:c>
    </x:row>
    <x:row r="286" ht="15" hidden="0" customHeight="1">
      <x:c r="A286" s="2" t="str">
        <x:v>SG-MC-04-2025063000</x:v>
      </x:c>
      <x:c r="B286" s="2" t="str">
        <x:v>2025-06-30 00:00:00</x:v>
      </x:c>
      <x:c r="C286" s="2" t="str">
        <x:v>MC-04</x:v>
      </x:c>
      <x:c r="D286" s="2" t="str">
        <x:v>PRD-A</x:v>
      </x:c>
      <x:c r="E286" s="2" t="n">
        <x:v>25.062218666065537</x:v>
      </x:c>
      <x:c r="F286" s="2" t="n">
        <x:v>0.0745289530784916</x:v>
      </x:c>
      <x:c r="G286" s="2" t="n">
        <x:v>5</x:v>
      </x:c>
      <x:c r="H286" s="2" t="n">
        <x:v>24.98096531359448</x:v>
      </x:c>
      <x:c r="I286" s="2" t="n">
        <x:v>25.029746559290437</x:v>
      </x:c>
      <x:c r="J286" s="2" t="n">
        <x:v>25.07852780498639</x:v>
      </x:c>
      <x:c r="K286" s="2" t="n">
        <x:v>0</x:v>
      </x:c>
      <x:c r="L286" s="2" t="n">
        <x:v>0.0845428868214142</x:v>
      </x:c>
      <x:c r="M286" s="2" t="n">
        <x:v>0.1787236627404697</x:v>
      </x:c>
      <x:c r="N286" s="14" t="b">
        <x:v>0</x:v>
      </x:c>
      <x:c r="O286" s="14" t="b">
        <x:v>0</x:v>
      </x:c>
      <x:c r="P286" s="14" t="b">
        <x:v>0</x:v>
      </x:c>
      <x:c r="Q286" s="14" t="b">
        <x:v>0</x:v>
      </x:c>
      <x:c r="R286" s="14" t="b">
        <x:v>0</x:v>
      </x:c>
      <x:c r="S286" s="14" t="b">
        <x:v>0</x:v>
      </x:c>
    </x:row>
    <x:row r="287" ht="15" hidden="0" customHeight="1">
      <x:c r="A287" s="2" t="str">
        <x:v>SG-MC-08-2025063000</x:v>
      </x:c>
      <x:c r="B287" s="2" t="str">
        <x:v>2025-06-30 00:00:00</x:v>
      </x:c>
      <x:c r="C287" s="2" t="str">
        <x:v>MC-08</x:v>
      </x:c>
      <x:c r="D287" s="2" t="str">
        <x:v>PRD-A</x:v>
      </x:c>
      <x:c r="E287" s="2" t="n">
        <x:v>25.04514888988583</x:v>
      </x:c>
      <x:c r="F287" s="2" t="n">
        <x:v>0.0953895708015082</x:v>
      </x:c>
      <x:c r="G287" s="2" t="n">
        <x:v>5</x:v>
      </x:c>
      <x:c r="H287" s="2" t="n">
        <x:v>24.98096531359448</x:v>
      </x:c>
      <x:c r="I287" s="2" t="n">
        <x:v>25.029746559290437</x:v>
      </x:c>
      <x:c r="J287" s="2" t="n">
        <x:v>25.07852780498639</x:v>
      </x:c>
      <x:c r="K287" s="2" t="n">
        <x:v>0</x:v>
      </x:c>
      <x:c r="L287" s="2" t="n">
        <x:v>0.0845428868214142</x:v>
      </x:c>
      <x:c r="M287" s="2" t="n">
        <x:v>0.1787236627404697</x:v>
      </x:c>
      <x:c r="N287" s="14" t="b">
        <x:v>0</x:v>
      </x:c>
      <x:c r="O287" s="14" t="b">
        <x:v>0</x:v>
      </x:c>
      <x:c r="P287" s="14" t="b">
        <x:v>0</x:v>
      </x:c>
      <x:c r="Q287" s="14" t="b">
        <x:v>0</x:v>
      </x:c>
      <x:c r="R287" s="14" t="b">
        <x:v>0</x:v>
      </x:c>
      <x:c r="S287" s="14" t="b">
        <x:v>0</x:v>
      </x:c>
    </x:row>
    <x:row r="288" ht="15" hidden="0" customHeight="1">
      <x:c r="A288" s="2" t="str">
        <x:v>SG-MC-12-2025063000</x:v>
      </x:c>
      <x:c r="B288" s="2" t="str">
        <x:v>2025-06-30 00:00:00</x:v>
      </x:c>
      <x:c r="C288" s="2" t="str">
        <x:v>MC-12</x:v>
      </x:c>
      <x:c r="D288" s="2" t="str">
        <x:v>PRD-A</x:v>
      </x:c>
      <x:c r="E288" s="2" t="n">
        <x:v>25.022401219821948</x:v>
      </x:c>
      <x:c r="F288" s="2" t="n">
        <x:v>0.1143345996695899</x:v>
      </x:c>
      <x:c r="G288" s="2" t="n">
        <x:v>5</x:v>
      </x:c>
      <x:c r="H288" s="2" t="n">
        <x:v>24.98096531359448</x:v>
      </x:c>
      <x:c r="I288" s="2" t="n">
        <x:v>25.029746559290437</x:v>
      </x:c>
      <x:c r="J288" s="2" t="n">
        <x:v>25.07852780498639</x:v>
      </x:c>
      <x:c r="K288" s="2" t="n">
        <x:v>0</x:v>
      </x:c>
      <x:c r="L288" s="2" t="n">
        <x:v>0.0845428868214142</x:v>
      </x:c>
      <x:c r="M288" s="2" t="n">
        <x:v>0.1787236627404697</x:v>
      </x:c>
      <x:c r="N288" s="14" t="b">
        <x:v>0</x:v>
      </x:c>
      <x:c r="O288" s="14" t="b">
        <x:v>0</x:v>
      </x:c>
      <x:c r="P288" s="14" t="b">
        <x:v>0</x:v>
      </x:c>
      <x:c r="Q288" s="14" t="b">
        <x:v>0</x:v>
      </x:c>
      <x:c r="R288" s="14" t="b">
        <x:v>0</x:v>
      </x:c>
      <x:c r="S288" s="14" t="b">
        <x:v>0</x:v>
      </x:c>
    </x:row>
    <x:row r="289" ht="15" hidden="0" customHeight="1">
      <x:c r="A289" s="2" t="str">
        <x:v>SG-MC-09-2025063000</x:v>
      </x:c>
      <x:c r="B289" s="2" t="str">
        <x:v>2025-06-30 00:00:00</x:v>
      </x:c>
      <x:c r="C289" s="2" t="str">
        <x:v>MC-09</x:v>
      </x:c>
      <x:c r="D289" s="2" t="str">
        <x:v>PRD-B</x:v>
      </x:c>
      <x:c r="E289" s="2" t="n">
        <x:v>80.02749620104625</x:v>
      </x:c>
      <x:c r="F289" s="2" t="n">
        <x:v>0.0980833053582728</x:v>
      </x:c>
      <x:c r="G289" s="2" t="n">
        <x:v>5</x:v>
      </x:c>
      <x:c r="H289" s="2" t="n">
        <x:v>79.98133298727322</x:v>
      </x:c>
      <x:c r="I289" s="2" t="n">
        <x:v>80.02998001088412</x:v>
      </x:c>
      <x:c r="J289" s="2" t="n">
        <x:v>80.07862703449501</x:v>
      </x:c>
      <x:c r="K289" s="2" t="n">
        <x:v>0</x:v>
      </x:c>
      <x:c r="L289" s="2" t="n">
        <x:v>0.0843102662233807</x:v>
      </x:c>
      <x:c r="M289" s="2" t="n">
        <x:v>0.1782319027962268</x:v>
      </x:c>
      <x:c r="N289" s="14" t="b">
        <x:v>0</x:v>
      </x:c>
      <x:c r="O289" s="14" t="b">
        <x:v>0</x:v>
      </x:c>
      <x:c r="P289" s="14" t="b">
        <x:v>0</x:v>
      </x:c>
      <x:c r="Q289" s="14" t="b">
        <x:v>0</x:v>
      </x:c>
      <x:c r="R289" s="14" t="b">
        <x:v>0</x:v>
      </x:c>
      <x:c r="S289" s="14" t="b">
        <x:v>0</x:v>
      </x:c>
    </x:row>
    <x:row r="290" ht="15" hidden="0" customHeight="1">
      <x:c r="A290" s="2" t="str">
        <x:v>SG-MC-01-2025063000</x:v>
      </x:c>
      <x:c r="B290" s="2" t="str">
        <x:v>2025-06-30 00:00:00</x:v>
      </x:c>
      <x:c r="C290" s="2" t="str">
        <x:v>MC-01</x:v>
      </x:c>
      <x:c r="D290" s="2" t="str">
        <x:v>PRD-B</x:v>
      </x:c>
      <x:c r="E290" s="2" t="n">
        <x:v>80.00518831973599</x:v>
      </x:c>
      <x:c r="F290" s="2" t="n">
        <x:v>0.0666129515452667</x:v>
      </x:c>
      <x:c r="G290" s="2" t="n">
        <x:v>5</x:v>
      </x:c>
      <x:c r="H290" s="2" t="n">
        <x:v>79.98133298727322</x:v>
      </x:c>
      <x:c r="I290" s="2" t="n">
        <x:v>80.02998001088412</x:v>
      </x:c>
      <x:c r="J290" s="2" t="n">
        <x:v>80.07862703449501</x:v>
      </x:c>
      <x:c r="K290" s="2" t="n">
        <x:v>0</x:v>
      </x:c>
      <x:c r="L290" s="2" t="n">
        <x:v>0.0843102662233807</x:v>
      </x:c>
      <x:c r="M290" s="2" t="n">
        <x:v>0.1782319027962268</x:v>
      </x:c>
      <x:c r="N290" s="14" t="b">
        <x:v>0</x:v>
      </x:c>
      <x:c r="O290" s="14" t="b">
        <x:v>0</x:v>
      </x:c>
      <x:c r="P290" s="14" t="b">
        <x:v>0</x:v>
      </x:c>
      <x:c r="Q290" s="14" t="b">
        <x:v>0</x:v>
      </x:c>
      <x:c r="R290" s="14" t="b">
        <x:v>0</x:v>
      </x:c>
      <x:c r="S290" s="14" t="b">
        <x:v>0</x:v>
      </x:c>
    </x:row>
    <x:row r="291" ht="15" hidden="0" customHeight="1">
      <x:c r="A291" s="2" t="str">
        <x:v>SG-MC-05-2025063000</x:v>
      </x:c>
      <x:c r="B291" s="2" t="str">
        <x:v>2025-06-30 00:00:00</x:v>
      </x:c>
      <x:c r="C291" s="2" t="str">
        <x:v>MC-05</x:v>
      </x:c>
      <x:c r="D291" s="2" t="str">
        <x:v>PRD-B</x:v>
      </x:c>
      <x:c r="E291" s="2" t="n">
        <x:v>80.06454068965783</x:v>
      </x:c>
      <x:c r="F291" s="2" t="n">
        <x:v>0.0810504838515697</x:v>
      </x:c>
      <x:c r="G291" s="2" t="n">
        <x:v>5</x:v>
      </x:c>
      <x:c r="H291" s="2" t="n">
        <x:v>79.98133298727322</x:v>
      </x:c>
      <x:c r="I291" s="2" t="n">
        <x:v>80.02998001088412</x:v>
      </x:c>
      <x:c r="J291" s="2" t="n">
        <x:v>80.07862703449501</x:v>
      </x:c>
      <x:c r="K291" s="2" t="n">
        <x:v>0</x:v>
      </x:c>
      <x:c r="L291" s="2" t="n">
        <x:v>0.0843102662233807</x:v>
      </x:c>
      <x:c r="M291" s="2" t="n">
        <x:v>0.1782319027962268</x:v>
      </x:c>
      <x:c r="N291" s="14" t="b">
        <x:v>0</x:v>
      </x:c>
      <x:c r="O291" s="14" t="b">
        <x:v>0</x:v>
      </x:c>
      <x:c r="P291" s="14" t="b">
        <x:v>0</x:v>
      </x:c>
      <x:c r="Q291" s="14" t="b">
        <x:v>0</x:v>
      </x:c>
      <x:c r="R291" s="14" t="b">
        <x:v>0</x:v>
      </x:c>
      <x:c r="S291" s="14" t="b">
        <x:v>0</x:v>
      </x:c>
    </x:row>
    <x:row r="292" ht="15" hidden="0" customHeight="1">
      <x:c r="A292" s="2" t="str">
        <x:v>SG-MC-07-2025063000</x:v>
      </x:c>
      <x:c r="B292" s="2" t="str">
        <x:v>2025-06-30 00:00:00</x:v>
      </x:c>
      <x:c r="C292" s="2" t="str">
        <x:v>MC-07</x:v>
      </x:c>
      <x:c r="D292" s="2" t="str">
        <x:v>PRD-D</x:v>
      </x:c>
      <x:c r="E292" s="2" t="n">
        <x:v>60.02488214973281</x:v>
      </x:c>
      <x:c r="F292" s="2" t="n">
        <x:v>0.0869520016029383</x:v>
      </x:c>
      <x:c r="G292" s="2" t="n">
        <x:v>5</x:v>
      </x:c>
      <x:c r="H292" s="2" t="n">
        <x:v>59.9812332134637</x:v>
      </x:c>
      <x:c r="I292" s="2" t="n">
        <x:v>60.03007765222271</x:v>
      </x:c>
      <x:c r="J292" s="2" t="n">
        <x:v>60.07892209098171</x:v>
      </x:c>
      <x:c r="K292" s="2" t="n">
        <x:v>0</x:v>
      </x:c>
      <x:c r="L292" s="2" t="n">
        <x:v>0.0846524068613621</x:v>
      </x:c>
      <x:c r="M292" s="2" t="n">
        <x:v>0.1789551881049196</x:v>
      </x:c>
      <x:c r="N292" s="14" t="b">
        <x:v>0</x:v>
      </x:c>
      <x:c r="O292" s="14" t="b">
        <x:v>0</x:v>
      </x:c>
      <x:c r="P292" s="14" t="b">
        <x:v>0</x:v>
      </x:c>
      <x:c r="Q292" s="14" t="b">
        <x:v>0</x:v>
      </x:c>
      <x:c r="R292" s="14" t="b">
        <x:v>0</x:v>
      </x:c>
      <x:c r="S292" s="14" t="b">
        <x:v>0</x:v>
      </x:c>
    </x:row>
    <x:row r="293" ht="15" hidden="0" customHeight="1">
      <x:c r="A293" s="2" t="str">
        <x:v>SG-MC-03-2025063000</x:v>
      </x:c>
      <x:c r="B293" s="2" t="str">
        <x:v>2025-06-30 00:00:00</x:v>
      </x:c>
      <x:c r="C293" s="2" t="str">
        <x:v>MC-03</x:v>
      </x:c>
      <x:c r="D293" s="2" t="str">
        <x:v>PRD-D</x:v>
      </x:c>
      <x:c r="E293" s="2" t="n">
        <x:v>60.049654195529605</x:v>
      </x:c>
      <x:c r="F293" s="2" t="n">
        <x:v>0.0148658658994804</x:v>
      </x:c>
      <x:c r="G293" s="2" t="n">
        <x:v>5</x:v>
      </x:c>
      <x:c r="H293" s="2" t="n">
        <x:v>59.9812332134637</x:v>
      </x:c>
      <x:c r="I293" s="2" t="n">
        <x:v>60.03007765222271</x:v>
      </x:c>
      <x:c r="J293" s="2" t="n">
        <x:v>60.07892209098171</x:v>
      </x:c>
      <x:c r="K293" s="2" t="n">
        <x:v>0</x:v>
      </x:c>
      <x:c r="L293" s="2" t="n">
        <x:v>0.0846524068613621</x:v>
      </x:c>
      <x:c r="M293" s="2" t="n">
        <x:v>0.1789551881049196</x:v>
      </x:c>
      <x:c r="N293" s="14" t="b">
        <x:v>0</x:v>
      </x:c>
      <x:c r="O293" s="14" t="b">
        <x:v>0</x:v>
      </x:c>
      <x:c r="P293" s="14" t="b">
        <x:v>0</x:v>
      </x:c>
      <x:c r="Q293" s="14" t="b">
        <x:v>0</x:v>
      </x:c>
      <x:c r="R293" s="14" t="b">
        <x:v>0</x:v>
      </x:c>
      <x:c r="S293" s="14" t="b">
        <x:v>0</x:v>
      </x:c>
    </x:row>
    <x:row r="294" ht="15" hidden="0" customHeight="1">
      <x:c r="A294" s="2" t="str">
        <x:v>SG-MC-11-2025063000</x:v>
      </x:c>
      <x:c r="B294" s="2" t="str">
        <x:v>2025-06-30 00:00:00</x:v>
      </x:c>
      <x:c r="C294" s="2" t="str">
        <x:v>MC-11</x:v>
      </x:c>
      <x:c r="D294" s="2" t="str">
        <x:v>PRD-D</x:v>
      </x:c>
      <x:c r="E294" s="2" t="n">
        <x:v>60.01335028950008</x:v>
      </x:c>
      <x:c r="F294" s="2" t="n">
        <x:v>0.0958640356904041</x:v>
      </x:c>
      <x:c r="G294" s="2" t="n">
        <x:v>5</x:v>
      </x:c>
      <x:c r="H294" s="2" t="n">
        <x:v>59.9812332134637</x:v>
      </x:c>
      <x:c r="I294" s="2" t="n">
        <x:v>60.03007765222271</x:v>
      </x:c>
      <x:c r="J294" s="2" t="n">
        <x:v>60.07892209098171</x:v>
      </x:c>
      <x:c r="K294" s="2" t="n">
        <x:v>0</x:v>
      </x:c>
      <x:c r="L294" s="2" t="n">
        <x:v>0.0846524068613621</x:v>
      </x:c>
      <x:c r="M294" s="2" t="n">
        <x:v>0.1789551881049196</x:v>
      </x:c>
      <x:c r="N294" s="14" t="b">
        <x:v>0</x:v>
      </x:c>
      <x:c r="O294" s="14" t="b">
        <x:v>0</x:v>
      </x:c>
      <x:c r="P294" s="14" t="b">
        <x:v>0</x:v>
      </x:c>
      <x:c r="Q294" s="14" t="b">
        <x:v>0</x:v>
      </x:c>
      <x:c r="R294" s="14" t="b">
        <x:v>0</x:v>
      </x:c>
      <x:c r="S294" s="14" t="b">
        <x:v>0</x:v>
      </x:c>
    </x:row>
    <x:row r="295" ht="15" hidden="0" customHeight="1">
      <x:c r="A295" s="2" t="str">
        <x:v>SG-MC-02-2025063000</x:v>
      </x:c>
      <x:c r="B295" s="2" t="str">
        <x:v>2025-06-30 00:00:00</x:v>
      </x:c>
      <x:c r="C295" s="2" t="str">
        <x:v>MC-02</x:v>
      </x:c>
      <x:c r="D295" s="2" t="str">
        <x:v>PRD-C</x:v>
      </x:c>
      <x:c r="E295" s="2" t="n">
        <x:v>42.01230379035475</x:v>
      </x:c>
      <x:c r="F295" s="2" t="n">
        <x:v>0.0920372041440629</x:v>
      </x:c>
      <x:c r="G295" s="2" t="n">
        <x:v>5</x:v>
      </x:c>
      <x:c r="H295" s="2" t="n">
        <x:v>41.98128274145005</x:v>
      </x:c>
      <x:c r="I295" s="2" t="n">
        <x:v>42.03038150785648</x:v>
      </x:c>
      <x:c r="J295" s="2" t="n">
        <x:v>42.0794802742629</x:v>
      </x:c>
      <x:c r="K295" s="2" t="n">
        <x:v>0</x:v>
      </x:c>
      <x:c r="L295" s="2" t="n">
        <x:v>0.0850931826801104</x:v>
      </x:c>
      <x:c r="M295" s="2" t="n">
        <x:v>0.1798869881857533</x:v>
      </x:c>
      <x:c r="N295" s="14" t="b">
        <x:v>0</x:v>
      </x:c>
      <x:c r="O295" s="14" t="b">
        <x:v>0</x:v>
      </x:c>
      <x:c r="P295" s="14" t="b">
        <x:v>0</x:v>
      </x:c>
      <x:c r="Q295" s="14" t="b">
        <x:v>0</x:v>
      </x:c>
      <x:c r="R295" s="14" t="b">
        <x:v>0</x:v>
      </x:c>
      <x:c r="S295" s="14" t="b">
        <x:v>0</x:v>
      </x:c>
    </x:row>
    <x:row r="296" ht="15" hidden="0" customHeight="1">
      <x:c r="A296" s="2" t="str">
        <x:v>SG-MC-06-2025063000</x:v>
      </x:c>
      <x:c r="B296" s="2" t="str">
        <x:v>2025-06-30 00:00:00</x:v>
      </x:c>
      <x:c r="C296" s="2" t="str">
        <x:v>MC-06</x:v>
      </x:c>
      <x:c r="D296" s="2" t="str">
        <x:v>PRD-C</x:v>
      </x:c>
      <x:c r="E296" s="2" t="n">
        <x:v>41.99402147814811</x:v>
      </x:c>
      <x:c r="F296" s="2" t="n">
        <x:v>0.0742305221281114</x:v>
      </x:c>
      <x:c r="G296" s="2" t="n">
        <x:v>5</x:v>
      </x:c>
      <x:c r="H296" s="2" t="n">
        <x:v>41.98128274145005</x:v>
      </x:c>
      <x:c r="I296" s="2" t="n">
        <x:v>42.03038150785648</x:v>
      </x:c>
      <x:c r="J296" s="2" t="n">
        <x:v>42.0794802742629</x:v>
      </x:c>
      <x:c r="K296" s="2" t="n">
        <x:v>0</x:v>
      </x:c>
      <x:c r="L296" s="2" t="n">
        <x:v>0.0850931826801104</x:v>
      </x:c>
      <x:c r="M296" s="2" t="n">
        <x:v>0.1798869881857533</x:v>
      </x:c>
      <x:c r="N296" s="14" t="b">
        <x:v>0</x:v>
      </x:c>
      <x:c r="O296" s="14" t="b">
        <x:v>0</x:v>
      </x:c>
      <x:c r="P296" s="14" t="b">
        <x:v>0</x:v>
      </x:c>
      <x:c r="Q296" s="14" t="b">
        <x:v>0</x:v>
      </x:c>
      <x:c r="R296" s="14" t="b">
        <x:v>0</x:v>
      </x:c>
      <x:c r="S296" s="14" t="b">
        <x:v>0</x:v>
      </x:c>
    </x:row>
    <x:row r="297" ht="15" hidden="0" customHeight="1">
      <x:c r="A297" s="2" t="str">
        <x:v>SG-MC-10-2025063000</x:v>
      </x:c>
      <x:c r="B297" s="2" t="str">
        <x:v>2025-06-30 00:00:00</x:v>
      </x:c>
      <x:c r="C297" s="2" t="str">
        <x:v>MC-10</x:v>
      </x:c>
      <x:c r="D297" s="2" t="str">
        <x:v>PRD-C</x:v>
      </x:c>
      <x:c r="E297" s="2" t="n">
        <x:v>42.06058502137659</x:v>
      </x:c>
      <x:c r="F297" s="2" t="n">
        <x:v>0.0519032010383995</x:v>
      </x:c>
      <x:c r="G297" s="2" t="n">
        <x:v>5</x:v>
      </x:c>
      <x:c r="H297" s="2" t="n">
        <x:v>41.98128274145005</x:v>
      </x:c>
      <x:c r="I297" s="2" t="n">
        <x:v>42.03038150785648</x:v>
      </x:c>
      <x:c r="J297" s="2" t="n">
        <x:v>42.0794802742629</x:v>
      </x:c>
      <x:c r="K297" s="2" t="n">
        <x:v>0</x:v>
      </x:c>
      <x:c r="L297" s="2" t="n">
        <x:v>0.0850931826801104</x:v>
      </x:c>
      <x:c r="M297" s="2" t="n">
        <x:v>0.1798869881857533</x:v>
      </x:c>
      <x:c r="N297" s="14" t="b">
        <x:v>0</x:v>
      </x:c>
      <x:c r="O297" s="14" t="b">
        <x:v>0</x:v>
      </x:c>
      <x:c r="P297" s="14" t="b">
        <x:v>0</x:v>
      </x:c>
      <x:c r="Q297" s="14" t="b">
        <x:v>0</x:v>
      </x:c>
      <x:c r="R297" s="14" t="b">
        <x:v>0</x:v>
      </x:c>
      <x:c r="S297" s="14" t="b">
        <x:v>0</x:v>
      </x:c>
    </x:row>
    <x:row r="298" ht="15" hidden="0" customHeight="1">
      <x:c r="A298" s="2" t="str">
        <x:v>SG-MC-09-2025063008</x:v>
      </x:c>
      <x:c r="B298" s="2" t="str">
        <x:v>2025-06-30 08:00:00</x:v>
      </x:c>
      <x:c r="C298" s="2" t="str">
        <x:v>MC-09</x:v>
      </x:c>
      <x:c r="D298" s="2" t="str">
        <x:v>PRD-B</x:v>
      </x:c>
      <x:c r="E298" s="2" t="n">
        <x:v>80.03240231108748</x:v>
      </x:c>
      <x:c r="F298" s="2" t="n">
        <x:v>0.0280117954291085</x:v>
      </x:c>
      <x:c r="G298" s="2" t="n">
        <x:v>5</x:v>
      </x:c>
      <x:c r="H298" s="2" t="n">
        <x:v>79.98133298727322</x:v>
      </x:c>
      <x:c r="I298" s="2" t="n">
        <x:v>80.02998001088412</x:v>
      </x:c>
      <x:c r="J298" s="2" t="n">
        <x:v>80.07862703449501</x:v>
      </x:c>
      <x:c r="K298" s="2" t="n">
        <x:v>0</x:v>
      </x:c>
      <x:c r="L298" s="2" t="n">
        <x:v>0.0843102662233807</x:v>
      </x:c>
      <x:c r="M298" s="2" t="n">
        <x:v>0.1782319027962268</x:v>
      </x:c>
      <x:c r="N298" s="14" t="b">
        <x:v>0</x:v>
      </x:c>
      <x:c r="O298" s="14" t="b">
        <x:v>0</x:v>
      </x:c>
      <x:c r="P298" s="14" t="b">
        <x:v>0</x:v>
      </x:c>
      <x:c r="Q298" s="14" t="b">
        <x:v>0</x:v>
      </x:c>
      <x:c r="R298" s="14" t="b">
        <x:v>0</x:v>
      </x:c>
      <x:c r="S298" s="14" t="b">
        <x:v>0</x:v>
      </x:c>
    </x:row>
    <x:row r="299" ht="15" hidden="0" customHeight="1">
      <x:c r="A299" s="2" t="str">
        <x:v>SG-MC-10-2025063008</x:v>
      </x:c>
      <x:c r="B299" s="2" t="str">
        <x:v>2025-06-30 08:00:00</x:v>
      </x:c>
      <x:c r="C299" s="2" t="str">
        <x:v>MC-10</x:v>
      </x:c>
      <x:c r="D299" s="2" t="str">
        <x:v>PRD-C</x:v>
      </x:c>
      <x:c r="E299" s="2" t="n">
        <x:v>42.046974556126735</x:v>
      </x:c>
      <x:c r="F299" s="2" t="n">
        <x:v>0.0660351132427194</x:v>
      </x:c>
      <x:c r="G299" s="2" t="n">
        <x:v>5</x:v>
      </x:c>
      <x:c r="H299" s="2" t="n">
        <x:v>41.98128274145005</x:v>
      </x:c>
      <x:c r="I299" s="2" t="n">
        <x:v>42.03038150785648</x:v>
      </x:c>
      <x:c r="J299" s="2" t="n">
        <x:v>42.0794802742629</x:v>
      </x:c>
      <x:c r="K299" s="2" t="n">
        <x:v>0</x:v>
      </x:c>
      <x:c r="L299" s="2" t="n">
        <x:v>0.0850931826801104</x:v>
      </x:c>
      <x:c r="M299" s="2" t="n">
        <x:v>0.1798869881857533</x:v>
      </x:c>
      <x:c r="N299" s="14" t="b">
        <x:v>0</x:v>
      </x:c>
      <x:c r="O299" s="14" t="b">
        <x:v>0</x:v>
      </x:c>
      <x:c r="P299" s="14" t="b">
        <x:v>0</x:v>
      </x:c>
      <x:c r="Q299" s="14" t="b">
        <x:v>0</x:v>
      </x:c>
      <x:c r="R299" s="14" t="b">
        <x:v>0</x:v>
      </x:c>
      <x:c r="S299" s="14" t="b">
        <x:v>0</x:v>
      </x:c>
    </x:row>
    <x:row r="300" ht="15" hidden="0" customHeight="1">
      <x:c r="A300" s="2" t="str">
        <x:v>SG-MC-06-2025063008</x:v>
      </x:c>
      <x:c r="B300" s="2" t="str">
        <x:v>2025-06-30 08:00:00</x:v>
      </x:c>
      <x:c r="C300" s="2" t="str">
        <x:v>MC-06</x:v>
      </x:c>
      <x:c r="D300" s="2" t="str">
        <x:v>PRD-C</x:v>
      </x:c>
      <x:c r="E300" s="2" t="n">
        <x:v>41.98226070958359</x:v>
      </x:c>
      <x:c r="F300" s="2" t="n">
        <x:v>0.0615023508123044</x:v>
      </x:c>
      <x:c r="G300" s="2" t="n">
        <x:v>5</x:v>
      </x:c>
      <x:c r="H300" s="2" t="n">
        <x:v>41.98128274145005</x:v>
      </x:c>
      <x:c r="I300" s="2" t="n">
        <x:v>42.03038150785648</x:v>
      </x:c>
      <x:c r="J300" s="2" t="n">
        <x:v>42.0794802742629</x:v>
      </x:c>
      <x:c r="K300" s="2" t="n">
        <x:v>0</x:v>
      </x:c>
      <x:c r="L300" s="2" t="n">
        <x:v>0.0850931826801104</x:v>
      </x:c>
      <x:c r="M300" s="2" t="n">
        <x:v>0.1798869881857533</x:v>
      </x:c>
      <x:c r="N300" s="14" t="b">
        <x:v>0</x:v>
      </x:c>
      <x:c r="O300" s="14" t="b">
        <x:v>1</x:v>
      </x:c>
      <x:c r="P300" s="14" t="b">
        <x:v>0</x:v>
      </x:c>
      <x:c r="Q300" s="14" t="b">
        <x:v>0</x:v>
      </x:c>
      <x:c r="R300" s="14" t="b">
        <x:v>1</x:v>
      </x:c>
      <x:c r="S300" s="14" t="b">
        <x:v>0</x:v>
      </x:c>
    </x:row>
    <x:row r="301" ht="15" hidden="0" customHeight="1">
      <x:c r="A301" s="2" t="str">
        <x:v>SG-MC-02-2025063008</x:v>
      </x:c>
      <x:c r="B301" s="2" t="str">
        <x:v>2025-06-30 08:00:00</x:v>
      </x:c>
      <x:c r="C301" s="2" t="str">
        <x:v>MC-02</x:v>
      </x:c>
      <x:c r="D301" s="2" t="str">
        <x:v>PRD-C</x:v>
      </x:c>
      <x:c r="E301" s="2" t="n">
        <x:v>42.04276103281551</x:v>
      </x:c>
      <x:c r="F301" s="2" t="n">
        <x:v>0.0855768247551438</x:v>
      </x:c>
      <x:c r="G301" s="2" t="n">
        <x:v>5</x:v>
      </x:c>
      <x:c r="H301" s="2" t="n">
        <x:v>41.98128274145005</x:v>
      </x:c>
      <x:c r="I301" s="2" t="n">
        <x:v>42.03038150785648</x:v>
      </x:c>
      <x:c r="J301" s="2" t="n">
        <x:v>42.0794802742629</x:v>
      </x:c>
      <x:c r="K301" s="2" t="n">
        <x:v>0</x:v>
      </x:c>
      <x:c r="L301" s="2" t="n">
        <x:v>0.0850931826801104</x:v>
      </x:c>
      <x:c r="M301" s="2" t="n">
        <x:v>0.1798869881857533</x:v>
      </x:c>
      <x:c r="N301" s="14" t="b">
        <x:v>0</x:v>
      </x:c>
      <x:c r="O301" s="14" t="b">
        <x:v>0</x:v>
      </x:c>
      <x:c r="P301" s="14" t="b">
        <x:v>0</x:v>
      </x:c>
      <x:c r="Q301" s="14" t="b">
        <x:v>0</x:v>
      </x:c>
      <x:c r="R301" s="14" t="b">
        <x:v>0</x:v>
      </x:c>
      <x:c r="S301" s="14" t="b">
        <x:v>0</x:v>
      </x:c>
    </x:row>
    <x:row r="302" ht="15" hidden="0" customHeight="1">
      <x:c r="A302" s="2" t="str">
        <x:v>SG-MC-12-2025063008</x:v>
      </x:c>
      <x:c r="B302" s="2" t="str">
        <x:v>2025-06-30 08:00:00</x:v>
      </x:c>
      <x:c r="C302" s="2" t="str">
        <x:v>MC-12</x:v>
      </x:c>
      <x:c r="D302" s="2" t="str">
        <x:v>PRD-A</x:v>
      </x:c>
      <x:c r="E302" s="2" t="n">
        <x:v>25.056456738894003</x:v>
      </x:c>
      <x:c r="F302" s="2" t="n">
        <x:v>0.0788830456267533</x:v>
      </x:c>
      <x:c r="G302" s="2" t="n">
        <x:v>5</x:v>
      </x:c>
      <x:c r="H302" s="2" t="n">
        <x:v>24.98096531359448</x:v>
      </x:c>
      <x:c r="I302" s="2" t="n">
        <x:v>25.029746559290437</x:v>
      </x:c>
      <x:c r="J302" s="2" t="n">
        <x:v>25.07852780498639</x:v>
      </x:c>
      <x:c r="K302" s="2" t="n">
        <x:v>0</x:v>
      </x:c>
      <x:c r="L302" s="2" t="n">
        <x:v>0.0845428868214142</x:v>
      </x:c>
      <x:c r="M302" s="2" t="n">
        <x:v>0.1787236627404697</x:v>
      </x:c>
      <x:c r="N302" s="14" t="b">
        <x:v>0</x:v>
      </x:c>
      <x:c r="O302" s="14" t="b">
        <x:v>0</x:v>
      </x:c>
      <x:c r="P302" s="14" t="b">
        <x:v>0</x:v>
      </x:c>
      <x:c r="Q302" s="14" t="b">
        <x:v>0</x:v>
      </x:c>
      <x:c r="R302" s="14" t="b">
        <x:v>0</x:v>
      </x:c>
      <x:c r="S302" s="14" t="b">
        <x:v>0</x:v>
      </x:c>
    </x:row>
    <x:row r="303" ht="15" hidden="0" customHeight="1">
      <x:c r="A303" s="2" t="str">
        <x:v>SG-MC-01-2025063008</x:v>
      </x:c>
      <x:c r="B303" s="2" t="str">
        <x:v>2025-06-30 08:00:00</x:v>
      </x:c>
      <x:c r="C303" s="2" t="str">
        <x:v>MC-01</x:v>
      </x:c>
      <x:c r="D303" s="2" t="str">
        <x:v>PRD-B</x:v>
      </x:c>
      <x:c r="E303" s="2" t="n">
        <x:v>80.01653180749027</x:v>
      </x:c>
      <x:c r="F303" s="2" t="n">
        <x:v>0.070319313085676</x:v>
      </x:c>
      <x:c r="G303" s="2" t="n">
        <x:v>5</x:v>
      </x:c>
      <x:c r="H303" s="2" t="n">
        <x:v>79.98133298727322</x:v>
      </x:c>
      <x:c r="I303" s="2" t="n">
        <x:v>80.02998001088412</x:v>
      </x:c>
      <x:c r="J303" s="2" t="n">
        <x:v>80.07862703449501</x:v>
      </x:c>
      <x:c r="K303" s="2" t="n">
        <x:v>0</x:v>
      </x:c>
      <x:c r="L303" s="2" t="n">
        <x:v>0.0843102662233807</x:v>
      </x:c>
      <x:c r="M303" s="2" t="n">
        <x:v>0.1782319027962268</x:v>
      </x:c>
      <x:c r="N303" s="14" t="b">
        <x:v>0</x:v>
      </x:c>
      <x:c r="O303" s="14" t="b">
        <x:v>0</x:v>
      </x:c>
      <x:c r="P303" s="14" t="b">
        <x:v>0</x:v>
      </x:c>
      <x:c r="Q303" s="14" t="b">
        <x:v>0</x:v>
      </x:c>
      <x:c r="R303" s="14" t="b">
        <x:v>0</x:v>
      </x:c>
      <x:c r="S303" s="14" t="b">
        <x:v>0</x:v>
      </x:c>
    </x:row>
    <x:row r="304" ht="15" hidden="0" customHeight="1">
      <x:c r="A304" s="2" t="str">
        <x:v>SG-MC-04-2025063008</x:v>
      </x:c>
      <x:c r="B304" s="2" t="str">
        <x:v>2025-06-30 08:00:00</x:v>
      </x:c>
      <x:c r="C304" s="2" t="str">
        <x:v>MC-04</x:v>
      </x:c>
      <x:c r="D304" s="2" t="str">
        <x:v>PRD-A</x:v>
      </x:c>
      <x:c r="E304" s="2" t="n">
        <x:v>25.062421577383088</x:v>
      </x:c>
      <x:c r="F304" s="2" t="n">
        <x:v>0.0565643408143081</x:v>
      </x:c>
      <x:c r="G304" s="2" t="n">
        <x:v>5</x:v>
      </x:c>
      <x:c r="H304" s="2" t="n">
        <x:v>24.98096531359448</x:v>
      </x:c>
      <x:c r="I304" s="2" t="n">
        <x:v>25.029746559290437</x:v>
      </x:c>
      <x:c r="J304" s="2" t="n">
        <x:v>25.07852780498639</x:v>
      </x:c>
      <x:c r="K304" s="2" t="n">
        <x:v>0</x:v>
      </x:c>
      <x:c r="L304" s="2" t="n">
        <x:v>0.0845428868214142</x:v>
      </x:c>
      <x:c r="M304" s="2" t="n">
        <x:v>0.1787236627404697</x:v>
      </x:c>
      <x:c r="N304" s="14" t="b">
        <x:v>0</x:v>
      </x:c>
      <x:c r="O304" s="14" t="b">
        <x:v>0</x:v>
      </x:c>
      <x:c r="P304" s="14" t="b">
        <x:v>0</x:v>
      </x:c>
      <x:c r="Q304" s="14" t="b">
        <x:v>0</x:v>
      </x:c>
      <x:c r="R304" s="14" t="b">
        <x:v>0</x:v>
      </x:c>
      <x:c r="S304" s="14" t="b">
        <x:v>0</x:v>
      </x:c>
    </x:row>
    <x:row r="305" ht="15" hidden="0" customHeight="1">
      <x:c r="A305" s="2" t="str">
        <x:v>SG-MC-11-2025063008</x:v>
      </x:c>
      <x:c r="B305" s="2" t="str">
        <x:v>2025-06-30 08:00:00</x:v>
      </x:c>
      <x:c r="C305" s="2" t="str">
        <x:v>MC-11</x:v>
      </x:c>
      <x:c r="D305" s="2" t="str">
        <x:v>PRD-D</x:v>
      </x:c>
      <x:c r="E305" s="2" t="n">
        <x:v>59.98744567295942</x:v>
      </x:c>
      <x:c r="F305" s="2" t="n">
        <x:v>0.1074597676084252</x:v>
      </x:c>
      <x:c r="G305" s="2" t="n">
        <x:v>5</x:v>
      </x:c>
      <x:c r="H305" s="2" t="n">
        <x:v>59.9812332134637</x:v>
      </x:c>
      <x:c r="I305" s="2" t="n">
        <x:v>60.03007765222271</x:v>
      </x:c>
      <x:c r="J305" s="2" t="n">
        <x:v>60.07892209098171</x:v>
      </x:c>
      <x:c r="K305" s="2" t="n">
        <x:v>0</x:v>
      </x:c>
      <x:c r="L305" s="2" t="n">
        <x:v>0.0846524068613621</x:v>
      </x:c>
      <x:c r="M305" s="2" t="n">
        <x:v>0.1789551881049196</x:v>
      </x:c>
      <x:c r="N305" s="14" t="b">
        <x:v>0</x:v>
      </x:c>
      <x:c r="O305" s="14" t="b">
        <x:v>0</x:v>
      </x:c>
      <x:c r="P305" s="14" t="b">
        <x:v>0</x:v>
      </x:c>
      <x:c r="Q305" s="14" t="b">
        <x:v>0</x:v>
      </x:c>
      <x:c r="R305" s="14" t="b">
        <x:v>0</x:v>
      </x:c>
      <x:c r="S305" s="14" t="b">
        <x:v>0</x:v>
      </x:c>
    </x:row>
    <x:row r="306" ht="15" hidden="0" customHeight="1">
      <x:c r="A306" s="2" t="str">
        <x:v>SG-MC-07-2025063008</x:v>
      </x:c>
      <x:c r="B306" s="2" t="str">
        <x:v>2025-06-30 08:00:00</x:v>
      </x:c>
      <x:c r="C306" s="2" t="str">
        <x:v>MC-07</x:v>
      </x:c>
      <x:c r="D306" s="2" t="str">
        <x:v>PRD-D</x:v>
      </x:c>
      <x:c r="E306" s="2" t="n">
        <x:v>60.02065374037088</x:v>
      </x:c>
      <x:c r="F306" s="2" t="n">
        <x:v>0.0833086936041667</x:v>
      </x:c>
      <x:c r="G306" s="2" t="n">
        <x:v>5</x:v>
      </x:c>
      <x:c r="H306" s="2" t="n">
        <x:v>59.9812332134637</x:v>
      </x:c>
      <x:c r="I306" s="2" t="n">
        <x:v>60.03007765222271</x:v>
      </x:c>
      <x:c r="J306" s="2" t="n">
        <x:v>60.07892209098171</x:v>
      </x:c>
      <x:c r="K306" s="2" t="n">
        <x:v>0</x:v>
      </x:c>
      <x:c r="L306" s="2" t="n">
        <x:v>0.0846524068613621</x:v>
      </x:c>
      <x:c r="M306" s="2" t="n">
        <x:v>0.1789551881049196</x:v>
      </x:c>
      <x:c r="N306" s="14" t="b">
        <x:v>0</x:v>
      </x:c>
      <x:c r="O306" s="14" t="b">
        <x:v>0</x:v>
      </x:c>
      <x:c r="P306" s="14" t="b">
        <x:v>0</x:v>
      </x:c>
      <x:c r="Q306" s="14" t="b">
        <x:v>0</x:v>
      </x:c>
      <x:c r="R306" s="14" t="b">
        <x:v>0</x:v>
      </x:c>
      <x:c r="S306" s="14" t="b">
        <x:v>0</x:v>
      </x:c>
    </x:row>
    <x:row r="307" ht="15" hidden="0" customHeight="1">
      <x:c r="A307" s="2" t="str">
        <x:v>SG-MC-03-2025063008</x:v>
      </x:c>
      <x:c r="B307" s="2" t="str">
        <x:v>2025-06-30 08:00:00</x:v>
      </x:c>
      <x:c r="C307" s="2" t="str">
        <x:v>MC-03</x:v>
      </x:c>
      <x:c r="D307" s="2" t="str">
        <x:v>PRD-D</x:v>
      </x:c>
      <x:c r="E307" s="2" t="n">
        <x:v>60.016280661885936</x:v>
      </x:c>
      <x:c r="F307" s="2" t="n">
        <x:v>0.1180353448246549</x:v>
      </x:c>
      <x:c r="G307" s="2" t="n">
        <x:v>5</x:v>
      </x:c>
      <x:c r="H307" s="2" t="n">
        <x:v>59.9812332134637</x:v>
      </x:c>
      <x:c r="I307" s="2" t="n">
        <x:v>60.03007765222271</x:v>
      </x:c>
      <x:c r="J307" s="2" t="n">
        <x:v>60.07892209098171</x:v>
      </x:c>
      <x:c r="K307" s="2" t="n">
        <x:v>0</x:v>
      </x:c>
      <x:c r="L307" s="2" t="n">
        <x:v>0.0846524068613621</x:v>
      </x:c>
      <x:c r="M307" s="2" t="n">
        <x:v>0.1789551881049196</x:v>
      </x:c>
      <x:c r="N307" s="14" t="b">
        <x:v>0</x:v>
      </x:c>
      <x:c r="O307" s="14" t="b">
        <x:v>0</x:v>
      </x:c>
      <x:c r="P307" s="14" t="b">
        <x:v>0</x:v>
      </x:c>
      <x:c r="Q307" s="14" t="b">
        <x:v>0</x:v>
      </x:c>
      <x:c r="R307" s="14" t="b">
        <x:v>0</x:v>
      </x:c>
      <x:c r="S307" s="14" t="b">
        <x:v>0</x:v>
      </x:c>
    </x:row>
    <x:row r="308" ht="15" hidden="0" customHeight="1">
      <x:c r="A308" s="2" t="str">
        <x:v>SG-MC-08-2025063008</x:v>
      </x:c>
      <x:c r="B308" s="2" t="str">
        <x:v>2025-06-30 08:00:00</x:v>
      </x:c>
      <x:c r="C308" s="2" t="str">
        <x:v>MC-08</x:v>
      </x:c>
      <x:c r="D308" s="2" t="str">
        <x:v>PRD-A</x:v>
      </x:c>
      <x:c r="E308" s="2" t="n">
        <x:v>25.014811130959725</x:v>
      </x:c>
      <x:c r="F308" s="2" t="n">
        <x:v>0.044465772056089</x:v>
      </x:c>
      <x:c r="G308" s="2" t="n">
        <x:v>5</x:v>
      </x:c>
      <x:c r="H308" s="2" t="n">
        <x:v>24.98096531359448</x:v>
      </x:c>
      <x:c r="I308" s="2" t="n">
        <x:v>25.029746559290437</x:v>
      </x:c>
      <x:c r="J308" s="2" t="n">
        <x:v>25.07852780498639</x:v>
      </x:c>
      <x:c r="K308" s="2" t="n">
        <x:v>0</x:v>
      </x:c>
      <x:c r="L308" s="2" t="n">
        <x:v>0.0845428868214142</x:v>
      </x:c>
      <x:c r="M308" s="2" t="n">
        <x:v>0.1787236627404697</x:v>
      </x:c>
      <x:c r="N308" s="14" t="b">
        <x:v>0</x:v>
      </x:c>
      <x:c r="O308" s="14" t="b">
        <x:v>0</x:v>
      </x:c>
      <x:c r="P308" s="14" t="b">
        <x:v>0</x:v>
      </x:c>
      <x:c r="Q308" s="14" t="b">
        <x:v>0</x:v>
      </x:c>
      <x:c r="R308" s="14" t="b">
        <x:v>0</x:v>
      </x:c>
      <x:c r="S308" s="14" t="b">
        <x:v>0</x:v>
      </x:c>
    </x:row>
    <x:row r="309" ht="15" hidden="0" customHeight="1">
      <x:c r="A309" s="2" t="str">
        <x:v>SG-MC-05-2025063008</x:v>
      </x:c>
      <x:c r="B309" s="2" t="str">
        <x:v>2025-06-30 08:00:00</x:v>
      </x:c>
      <x:c r="C309" s="2" t="str">
        <x:v>MC-05</x:v>
      </x:c>
      <x:c r="D309" s="2" t="str">
        <x:v>PRD-B</x:v>
      </x:c>
      <x:c r="E309" s="2" t="n">
        <x:v>80.08963296897815</x:v>
      </x:c>
      <x:c r="F309" s="2" t="n">
        <x:v>0.1677736052638039</x:v>
      </x:c>
      <x:c r="G309" s="2" t="n">
        <x:v>5</x:v>
      </x:c>
      <x:c r="H309" s="2" t="n">
        <x:v>79.98133298727322</x:v>
      </x:c>
      <x:c r="I309" s="2" t="n">
        <x:v>80.02998001088412</x:v>
      </x:c>
      <x:c r="J309" s="2" t="n">
        <x:v>80.07862703449501</x:v>
      </x:c>
      <x:c r="K309" s="2" t="n">
        <x:v>0</x:v>
      </x:c>
      <x:c r="L309" s="2" t="n">
        <x:v>0.0843102662233807</x:v>
      </x:c>
      <x:c r="M309" s="2" t="n">
        <x:v>0.1782319027962268</x:v>
      </x:c>
      <x:c r="N309" s="14" t="b">
        <x:v>1</x:v>
      </x:c>
      <x:c r="O309" s="14" t="b">
        <x:v>1</x:v>
      </x:c>
      <x:c r="P309" s="14" t="b">
        <x:v>0</x:v>
      </x:c>
      <x:c r="Q309" s="14" t="b">
        <x:v>0</x:v>
      </x:c>
      <x:c r="R309" s="14" t="b">
        <x:v>1</x:v>
      </x:c>
      <x:c r="S309" s="14" t="b">
        <x:v>0</x:v>
      </x:c>
    </x:row>
    <x:row r="310" ht="15" hidden="0" customHeight="1">
      <x:c r="A310" s="2" t="str">
        <x:v>SG-MC-03-2025063016</x:v>
      </x:c>
      <x:c r="B310" s="2" t="str">
        <x:v>2025-06-30 16:00:00</x:v>
      </x:c>
      <x:c r="C310" s="2" t="str">
        <x:v>MC-03</x:v>
      </x:c>
      <x:c r="D310" s="2" t="str">
        <x:v>PRD-D</x:v>
      </x:c>
      <x:c r="E310" s="2" t="n">
        <x:v>60.04956053836786</x:v>
      </x:c>
      <x:c r="F310" s="2" t="n">
        <x:v>0.0786753972113629</x:v>
      </x:c>
      <x:c r="G310" s="2" t="n">
        <x:v>5</x:v>
      </x:c>
      <x:c r="H310" s="2" t="n">
        <x:v>59.9812332134637</x:v>
      </x:c>
      <x:c r="I310" s="2" t="n">
        <x:v>60.03007765222271</x:v>
      </x:c>
      <x:c r="J310" s="2" t="n">
        <x:v>60.07892209098171</x:v>
      </x:c>
      <x:c r="K310" s="2" t="n">
        <x:v>0</x:v>
      </x:c>
      <x:c r="L310" s="2" t="n">
        <x:v>0.0846524068613621</x:v>
      </x:c>
      <x:c r="M310" s="2" t="n">
        <x:v>0.1789551881049196</x:v>
      </x:c>
      <x:c r="N310" s="14" t="b">
        <x:v>0</x:v>
      </x:c>
      <x:c r="O310" s="14" t="b">
        <x:v>0</x:v>
      </x:c>
      <x:c r="P310" s="14" t="b">
        <x:v>0</x:v>
      </x:c>
      <x:c r="Q310" s="14" t="b">
        <x:v>0</x:v>
      </x:c>
      <x:c r="R310" s="14" t="b">
        <x:v>0</x:v>
      </x:c>
      <x:c r="S310" s="14" t="b">
        <x:v>0</x:v>
      </x:c>
    </x:row>
    <x:row r="311" ht="15" hidden="0" customHeight="1">
      <x:c r="A311" s="2" t="str">
        <x:v>SG-MC-01-2025063016</x:v>
      </x:c>
      <x:c r="B311" s="2" t="str">
        <x:v>2025-06-30 16:00:00</x:v>
      </x:c>
      <x:c r="C311" s="2" t="str">
        <x:v>MC-01</x:v>
      </x:c>
      <x:c r="D311" s="2" t="str">
        <x:v>PRD-B</x:v>
      </x:c>
      <x:c r="E311" s="2" t="n">
        <x:v>80.01882793887432</x:v>
      </x:c>
      <x:c r="F311" s="2" t="n">
        <x:v>0.0549403677716071</x:v>
      </x:c>
      <x:c r="G311" s="2" t="n">
        <x:v>5</x:v>
      </x:c>
      <x:c r="H311" s="2" t="n">
        <x:v>79.98133298727322</x:v>
      </x:c>
      <x:c r="I311" s="2" t="n">
        <x:v>80.02998001088412</x:v>
      </x:c>
      <x:c r="J311" s="2" t="n">
        <x:v>80.07862703449501</x:v>
      </x:c>
      <x:c r="K311" s="2" t="n">
        <x:v>0</x:v>
      </x:c>
      <x:c r="L311" s="2" t="n">
        <x:v>0.0843102662233807</x:v>
      </x:c>
      <x:c r="M311" s="2" t="n">
        <x:v>0.1782319027962268</x:v>
      </x:c>
      <x:c r="N311" s="14" t="b">
        <x:v>0</x:v>
      </x:c>
      <x:c r="O311" s="14" t="b">
        <x:v>0</x:v>
      </x:c>
      <x:c r="P311" s="14" t="b">
        <x:v>0</x:v>
      </x:c>
      <x:c r="Q311" s="14" t="b">
        <x:v>0</x:v>
      </x:c>
      <x:c r="R311" s="14" t="b">
        <x:v>0</x:v>
      </x:c>
      <x:c r="S311" s="14" t="b">
        <x:v>0</x:v>
      </x:c>
    </x:row>
    <x:row r="312" ht="15" hidden="0" customHeight="1">
      <x:c r="A312" s="2" t="str">
        <x:v>SG-MC-06-2025063016</x:v>
      </x:c>
      <x:c r="B312" s="2" t="str">
        <x:v>2025-06-30 16:00:00</x:v>
      </x:c>
      <x:c r="C312" s="2" t="str">
        <x:v>MC-06</x:v>
      </x:c>
      <x:c r="D312" s="2" t="str">
        <x:v>PRD-C</x:v>
      </x:c>
      <x:c r="E312" s="2" t="n">
        <x:v>41.99872392090576</x:v>
      </x:c>
      <x:c r="F312" s="2" t="n">
        <x:v>0.0803982726439898</x:v>
      </x:c>
      <x:c r="G312" s="2" t="n">
        <x:v>5</x:v>
      </x:c>
      <x:c r="H312" s="2" t="n">
        <x:v>41.98128274145005</x:v>
      </x:c>
      <x:c r="I312" s="2" t="n">
        <x:v>42.03038150785648</x:v>
      </x:c>
      <x:c r="J312" s="2" t="n">
        <x:v>42.0794802742629</x:v>
      </x:c>
      <x:c r="K312" s="2" t="n">
        <x:v>0</x:v>
      </x:c>
      <x:c r="L312" s="2" t="n">
        <x:v>0.0850931826801104</x:v>
      </x:c>
      <x:c r="M312" s="2" t="n">
        <x:v>0.1798869881857533</x:v>
      </x:c>
      <x:c r="N312" s="14" t="b">
        <x:v>0</x:v>
      </x:c>
      <x:c r="O312" s="14" t="b">
        <x:v>0</x:v>
      </x:c>
      <x:c r="P312" s="14" t="b">
        <x:v>0</x:v>
      </x:c>
      <x:c r="Q312" s="14" t="b">
        <x:v>0</x:v>
      </x:c>
      <x:c r="R312" s="14" t="b">
        <x:v>0</x:v>
      </x:c>
      <x:c r="S312" s="14" t="b">
        <x:v>0</x:v>
      </x:c>
    </x:row>
    <x:row r="313" ht="15" hidden="0" customHeight="1">
      <x:c r="A313" s="2" t="str">
        <x:v>SG-MC-02-2025063016</x:v>
      </x:c>
      <x:c r="B313" s="2" t="str">
        <x:v>2025-06-30 16:00:00</x:v>
      </x:c>
      <x:c r="C313" s="2" t="str">
        <x:v>MC-02</x:v>
      </x:c>
      <x:c r="D313" s="2" t="str">
        <x:v>PRD-C</x:v>
      </x:c>
      <x:c r="E313" s="2" t="n">
        <x:v>42.03512499183378</x:v>
      </x:c>
      <x:c r="F313" s="2" t="n">
        <x:v>0.1390040913302428</x:v>
      </x:c>
      <x:c r="G313" s="2" t="n">
        <x:v>5</x:v>
      </x:c>
      <x:c r="H313" s="2" t="n">
        <x:v>41.98128274145005</x:v>
      </x:c>
      <x:c r="I313" s="2" t="n">
        <x:v>42.03038150785648</x:v>
      </x:c>
      <x:c r="J313" s="2" t="n">
        <x:v>42.0794802742629</x:v>
      </x:c>
      <x:c r="K313" s="2" t="n">
        <x:v>0</x:v>
      </x:c>
      <x:c r="L313" s="2" t="n">
        <x:v>0.0850931826801104</x:v>
      </x:c>
      <x:c r="M313" s="2" t="n">
        <x:v>0.1798869881857533</x:v>
      </x:c>
      <x:c r="N313" s="14" t="b">
        <x:v>0</x:v>
      </x:c>
      <x:c r="O313" s="14" t="b">
        <x:v>0</x:v>
      </x:c>
      <x:c r="P313" s="14" t="b">
        <x:v>0</x:v>
      </x:c>
      <x:c r="Q313" s="14" t="b">
        <x:v>0</x:v>
      </x:c>
      <x:c r="R313" s="14" t="b">
        <x:v>0</x:v>
      </x:c>
      <x:c r="S313" s="14" t="b">
        <x:v>0</x:v>
      </x:c>
    </x:row>
    <x:row r="314" ht="15" hidden="0" customHeight="1">
      <x:c r="A314" s="2" t="str">
        <x:v>SG-MC-07-2025063016</x:v>
      </x:c>
      <x:c r="B314" s="2" t="str">
        <x:v>2025-06-30 16:00:00</x:v>
      </x:c>
      <x:c r="C314" s="2" t="str">
        <x:v>MC-07</x:v>
      </x:c>
      <x:c r="D314" s="2" t="str">
        <x:v>PRD-D</x:v>
      </x:c>
      <x:c r="E314" s="2" t="n">
        <x:v>60.00379152620967</x:v>
      </x:c>
      <x:c r="F314" s="2" t="n">
        <x:v>0.0665156765902139</x:v>
      </x:c>
      <x:c r="G314" s="2" t="n">
        <x:v>5</x:v>
      </x:c>
      <x:c r="H314" s="2" t="n">
        <x:v>59.9812332134637</x:v>
      </x:c>
      <x:c r="I314" s="2" t="n">
        <x:v>60.03007765222271</x:v>
      </x:c>
      <x:c r="J314" s="2" t="n">
        <x:v>60.07892209098171</x:v>
      </x:c>
      <x:c r="K314" s="2" t="n">
        <x:v>0</x:v>
      </x:c>
      <x:c r="L314" s="2" t="n">
        <x:v>0.0846524068613621</x:v>
      </x:c>
      <x:c r="M314" s="2" t="n">
        <x:v>0.1789551881049196</x:v>
      </x:c>
      <x:c r="N314" s="14" t="b">
        <x:v>0</x:v>
      </x:c>
      <x:c r="O314" s="14" t="b">
        <x:v>0</x:v>
      </x:c>
      <x:c r="P314" s="14" t="b">
        <x:v>0</x:v>
      </x:c>
      <x:c r="Q314" s="14" t="b">
        <x:v>0</x:v>
      </x:c>
      <x:c r="R314" s="14" t="b">
        <x:v>0</x:v>
      </x:c>
      <x:c r="S314" s="14" t="b">
        <x:v>0</x:v>
      </x:c>
    </x:row>
    <x:row r="315" ht="15" hidden="0" customHeight="1">
      <x:c r="A315" s="2" t="str">
        <x:v>SG-MC-05-2025063016</x:v>
      </x:c>
      <x:c r="B315" s="2" t="str">
        <x:v>2025-06-30 16:00:00</x:v>
      </x:c>
      <x:c r="C315" s="2" t="str">
        <x:v>MC-05</x:v>
      </x:c>
      <x:c r="D315" s="2" t="str">
        <x:v>PRD-B</x:v>
      </x:c>
      <x:c r="E315" s="2" t="n">
        <x:v>80.07449363316731</x:v>
      </x:c>
      <x:c r="F315" s="2" t="n">
        <x:v>0.0645484135232123</x:v>
      </x:c>
      <x:c r="G315" s="2" t="n">
        <x:v>5</x:v>
      </x:c>
      <x:c r="H315" s="2" t="n">
        <x:v>79.98133298727322</x:v>
      </x:c>
      <x:c r="I315" s="2" t="n">
        <x:v>80.02998001088412</x:v>
      </x:c>
      <x:c r="J315" s="2" t="n">
        <x:v>80.07862703449501</x:v>
      </x:c>
      <x:c r="K315" s="2" t="n">
        <x:v>0</x:v>
      </x:c>
      <x:c r="L315" s="2" t="n">
        <x:v>0.0843102662233807</x:v>
      </x:c>
      <x:c r="M315" s="2" t="n">
        <x:v>0.1782319027962268</x:v>
      </x:c>
      <x:c r="N315" s="14" t="b">
        <x:v>0</x:v>
      </x:c>
      <x:c r="O315" s="14" t="b">
        <x:v>0</x:v>
      </x:c>
      <x:c r="P315" s="14" t="b">
        <x:v>0</x:v>
      </x:c>
      <x:c r="Q315" s="14" t="b">
        <x:v>0</x:v>
      </x:c>
      <x:c r="R315" s="14" t="b">
        <x:v>0</x:v>
      </x:c>
      <x:c r="S315" s="14" t="b">
        <x:v>0</x:v>
      </x:c>
    </x:row>
    <x:row r="316" ht="15" hidden="0" customHeight="1">
      <x:c r="A316" s="2" t="str">
        <x:v>SG-MC-09-2025063016</x:v>
      </x:c>
      <x:c r="B316" s="2" t="str">
        <x:v>2025-06-30 16:00:00</x:v>
      </x:c>
      <x:c r="C316" s="2" t="str">
        <x:v>MC-09</x:v>
      </x:c>
      <x:c r="D316" s="2" t="str">
        <x:v>PRD-B</x:v>
      </x:c>
      <x:c r="E316" s="2" t="n">
        <x:v>80.0193045556934</x:v>
      </x:c>
      <x:c r="F316" s="2" t="n">
        <x:v>0.048881405297493</x:v>
      </x:c>
      <x:c r="G316" s="2" t="n">
        <x:v>5</x:v>
      </x:c>
      <x:c r="H316" s="2" t="n">
        <x:v>79.98133298727322</x:v>
      </x:c>
      <x:c r="I316" s="2" t="n">
        <x:v>80.02998001088412</x:v>
      </x:c>
      <x:c r="J316" s="2" t="n">
        <x:v>80.07862703449501</x:v>
      </x:c>
      <x:c r="K316" s="2" t="n">
        <x:v>0</x:v>
      </x:c>
      <x:c r="L316" s="2" t="n">
        <x:v>0.0843102662233807</x:v>
      </x:c>
      <x:c r="M316" s="2" t="n">
        <x:v>0.1782319027962268</x:v>
      </x:c>
      <x:c r="N316" s="14" t="b">
        <x:v>0</x:v>
      </x:c>
      <x:c r="O316" s="14" t="b">
        <x:v>0</x:v>
      </x:c>
      <x:c r="P316" s="14" t="b">
        <x:v>0</x:v>
      </x:c>
      <x:c r="Q316" s="14" t="b">
        <x:v>0</x:v>
      </x:c>
      <x:c r="R316" s="14" t="b">
        <x:v>0</x:v>
      </x:c>
      <x:c r="S316" s="14" t="b">
        <x:v>0</x:v>
      </x:c>
    </x:row>
    <x:row r="317" ht="15" hidden="0" customHeight="1">
      <x:c r="A317" s="2" t="str">
        <x:v>SG-MC-12-2025063016</x:v>
      </x:c>
      <x:c r="B317" s="2" t="str">
        <x:v>2025-06-30 16:00:00</x:v>
      </x:c>
      <x:c r="C317" s="2" t="str">
        <x:v>MC-12</x:v>
      </x:c>
      <x:c r="D317" s="2" t="str">
        <x:v>PRD-A</x:v>
      </x:c>
      <x:c r="E317" s="2" t="n">
        <x:v>25.07696208237486</x:v>
      </x:c>
      <x:c r="F317" s="2" t="n">
        <x:v>0.1657438989136004</x:v>
      </x:c>
      <x:c r="G317" s="2" t="n">
        <x:v>5</x:v>
      </x:c>
      <x:c r="H317" s="2" t="n">
        <x:v>24.98096531359448</x:v>
      </x:c>
      <x:c r="I317" s="2" t="n">
        <x:v>25.029746559290437</x:v>
      </x:c>
      <x:c r="J317" s="2" t="n">
        <x:v>25.07852780498639</x:v>
      </x:c>
      <x:c r="K317" s="2" t="n">
        <x:v>0</x:v>
      </x:c>
      <x:c r="L317" s="2" t="n">
        <x:v>0.0845428868214142</x:v>
      </x:c>
      <x:c r="M317" s="2" t="n">
        <x:v>0.1787236627404697</x:v>
      </x:c>
      <x:c r="N317" s="14" t="b">
        <x:v>0</x:v>
      </x:c>
      <x:c r="O317" s="14" t="b">
        <x:v>0</x:v>
      </x:c>
      <x:c r="P317" s="14" t="b">
        <x:v>0</x:v>
      </x:c>
      <x:c r="Q317" s="14" t="b">
        <x:v>0</x:v>
      </x:c>
      <x:c r="R317" s="14" t="b">
        <x:v>0</x:v>
      </x:c>
      <x:c r="S317" s="14" t="b">
        <x:v>0</x:v>
      </x:c>
    </x:row>
    <x:row r="318" ht="15" hidden="0" customHeight="1">
      <x:c r="A318" s="2" t="str">
        <x:v>SG-MC-04-2025063016</x:v>
      </x:c>
      <x:c r="B318" s="2" t="str">
        <x:v>2025-06-30 16:00:00</x:v>
      </x:c>
      <x:c r="C318" s="2" t="str">
        <x:v>MC-04</x:v>
      </x:c>
      <x:c r="D318" s="2" t="str">
        <x:v>PRD-A</x:v>
      </x:c>
      <x:c r="E318" s="2" t="n">
        <x:v>25.016555780156278</x:v>
      </x:c>
      <x:c r="F318" s="2" t="n">
        <x:v>0.0371949128626809</x:v>
      </x:c>
      <x:c r="G318" s="2" t="n">
        <x:v>5</x:v>
      </x:c>
      <x:c r="H318" s="2" t="n">
        <x:v>24.98096531359448</x:v>
      </x:c>
      <x:c r="I318" s="2" t="n">
        <x:v>25.029746559290437</x:v>
      </x:c>
      <x:c r="J318" s="2" t="n">
        <x:v>25.07852780498639</x:v>
      </x:c>
      <x:c r="K318" s="2" t="n">
        <x:v>0</x:v>
      </x:c>
      <x:c r="L318" s="2" t="n">
        <x:v>0.0845428868214142</x:v>
      </x:c>
      <x:c r="M318" s="2" t="n">
        <x:v>0.1787236627404697</x:v>
      </x:c>
      <x:c r="N318" s="14" t="b">
        <x:v>0</x:v>
      </x:c>
      <x:c r="O318" s="14" t="b">
        <x:v>0</x:v>
      </x:c>
      <x:c r="P318" s="14" t="b">
        <x:v>0</x:v>
      </x:c>
      <x:c r="Q318" s="14" t="b">
        <x:v>0</x:v>
      </x:c>
      <x:c r="R318" s="14" t="b">
        <x:v>0</x:v>
      </x:c>
      <x:c r="S318" s="14" t="b">
        <x:v>0</x:v>
      </x:c>
    </x:row>
    <x:row r="319" ht="15" hidden="0" customHeight="1">
      <x:c r="A319" s="2" t="str">
        <x:v>SG-MC-08-2025063016</x:v>
      </x:c>
      <x:c r="B319" s="2" t="str">
        <x:v>2025-06-30 16:00:00</x:v>
      </x:c>
      <x:c r="C319" s="2" t="str">
        <x:v>MC-08</x:v>
      </x:c>
      <x:c r="D319" s="2" t="str">
        <x:v>PRD-A</x:v>
      </x:c>
      <x:c r="E319" s="2" t="n">
        <x:v>25.02229573462065</x:v>
      </x:c>
      <x:c r="F319" s="2" t="n">
        <x:v>0.0544140389662182</x:v>
      </x:c>
      <x:c r="G319" s="2" t="n">
        <x:v>5</x:v>
      </x:c>
      <x:c r="H319" s="2" t="n">
        <x:v>24.98096531359448</x:v>
      </x:c>
      <x:c r="I319" s="2" t="n">
        <x:v>25.029746559290437</x:v>
      </x:c>
      <x:c r="J319" s="2" t="n">
        <x:v>25.07852780498639</x:v>
      </x:c>
      <x:c r="K319" s="2" t="n">
        <x:v>0</x:v>
      </x:c>
      <x:c r="L319" s="2" t="n">
        <x:v>0.0845428868214142</x:v>
      </x:c>
      <x:c r="M319" s="2" t="n">
        <x:v>0.1787236627404697</x:v>
      </x:c>
      <x:c r="N319" s="14" t="b">
        <x:v>0</x:v>
      </x:c>
      <x:c r="O319" s="14" t="b">
        <x:v>0</x:v>
      </x:c>
      <x:c r="P319" s="14" t="b">
        <x:v>0</x:v>
      </x:c>
      <x:c r="Q319" s="14" t="b">
        <x:v>0</x:v>
      </x:c>
      <x:c r="R319" s="14" t="b">
        <x:v>0</x:v>
      </x:c>
      <x:c r="S319" s="14" t="b">
        <x:v>0</x:v>
      </x:c>
    </x:row>
    <x:row r="320" ht="15" hidden="0" customHeight="1">
      <x:c r="A320" s="2" t="str">
        <x:v>SG-MC-10-2025063016</x:v>
      </x:c>
      <x:c r="B320" s="2" t="str">
        <x:v>2025-06-30 16:00:00</x:v>
      </x:c>
      <x:c r="C320" s="2" t="str">
        <x:v>MC-10</x:v>
      </x:c>
      <x:c r="D320" s="2" t="str">
        <x:v>PRD-C</x:v>
      </x:c>
      <x:c r="E320" s="2" t="n">
        <x:v>42.03042744503819</x:v>
      </x:c>
      <x:c r="F320" s="2" t="n">
        <x:v>0.1102534963335486</x:v>
      </x:c>
      <x:c r="G320" s="2" t="n">
        <x:v>5</x:v>
      </x:c>
      <x:c r="H320" s="2" t="n">
        <x:v>41.98128274145005</x:v>
      </x:c>
      <x:c r="I320" s="2" t="n">
        <x:v>42.03038150785648</x:v>
      </x:c>
      <x:c r="J320" s="2" t="n">
        <x:v>42.0794802742629</x:v>
      </x:c>
      <x:c r="K320" s="2" t="n">
        <x:v>0</x:v>
      </x:c>
      <x:c r="L320" s="2" t="n">
        <x:v>0.0850931826801104</x:v>
      </x:c>
      <x:c r="M320" s="2" t="n">
        <x:v>0.1798869881857533</x:v>
      </x:c>
      <x:c r="N320" s="14" t="b">
        <x:v>0</x:v>
      </x:c>
      <x:c r="O320" s="14" t="b">
        <x:v>0</x:v>
      </x:c>
      <x:c r="P320" s="14" t="b">
        <x:v>0</x:v>
      </x:c>
      <x:c r="Q320" s="14" t="b">
        <x:v>0</x:v>
      </x:c>
      <x:c r="R320" s="14" t="b">
        <x:v>0</x:v>
      </x:c>
      <x:c r="S320" s="14" t="b">
        <x:v>0</x:v>
      </x:c>
    </x:row>
    <x:row r="321" ht="15" hidden="0" customHeight="1">
      <x:c r="A321" s="2" t="str">
        <x:v>SG-MC-11-2025063016</x:v>
      </x:c>
      <x:c r="B321" s="2" t="str">
        <x:v>2025-06-30 16:00:00</x:v>
      </x:c>
      <x:c r="C321" s="2" t="str">
        <x:v>MC-11</x:v>
      </x:c>
      <x:c r="D321" s="2" t="str">
        <x:v>PRD-D</x:v>
      </x:c>
      <x:c r="E321" s="2" t="n">
        <x:v>59.96314749240197</x:v>
      </x:c>
      <x:c r="F321" s="2" t="n">
        <x:v>0.0870930664631544</x:v>
      </x:c>
      <x:c r="G321" s="2" t="n">
        <x:v>5</x:v>
      </x:c>
      <x:c r="H321" s="2" t="n">
        <x:v>59.9812332134637</x:v>
      </x:c>
      <x:c r="I321" s="2" t="n">
        <x:v>60.03007765222271</x:v>
      </x:c>
      <x:c r="J321" s="2" t="n">
        <x:v>60.07892209098171</x:v>
      </x:c>
      <x:c r="K321" s="2" t="n">
        <x:v>0</x:v>
      </x:c>
      <x:c r="L321" s="2" t="n">
        <x:v>0.0846524068613621</x:v>
      </x:c>
      <x:c r="M321" s="2" t="n">
        <x:v>0.1789551881049196</x:v>
      </x:c>
      <x:c r="N321" s="14" t="b">
        <x:v>1</x:v>
      </x:c>
      <x:c r="O321" s="14" t="b">
        <x:v>0</x:v>
      </x:c>
      <x:c r="P321" s="14" t="b">
        <x:v>0</x:v>
      </x:c>
      <x:c r="Q321" s="14" t="b">
        <x:v>0</x:v>
      </x:c>
      <x:c r="R321" s="14" t="b">
        <x:v>1</x:v>
      </x:c>
      <x:c r="S321" s="1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be414a7fdd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15" hidden="0" customHeight="1">
      <x:c r="A1" s="11" t="str">
        <x:v>shift_id</x:v>
      </x:c>
      <x:c r="B1" s="12" t="str">
        <x:v>timestamp</x:v>
      </x:c>
      <x:c r="C1" s="12" t="str">
        <x:v>line_id</x:v>
      </x:c>
      <x:c r="D1" s="12" t="str">
        <x:v>machine_id</x:v>
      </x:c>
      <x:c r="E1" s="12" t="str">
        <x:v>product_id</x:v>
      </x:c>
      <x:c r="F1" s="12" t="str">
        <x:v>criticality</x:v>
      </x:c>
      <x:c r="G1" s="12" t="str">
        <x:v>failure_cost</x:v>
      </x:c>
      <x:c r="H1" s="12" t="str">
        <x:v>maintenance_cost</x:v>
      </x:c>
      <x:c r="I1" s="12" t="str">
        <x:v>failure_within_24h</x:v>
      </x:c>
      <x:c r="J1" s="12" t="str">
        <x:v>next_failure_hours</x:v>
      </x:c>
      <x:c r="K1" s="12" t="str">
        <x:v>failure_probability</x:v>
      </x:c>
      <x:c r="L1" s="12" t="str">
        <x:v>alert</x:v>
      </x:c>
      <x:c r="M1" s="12" t="str">
        <x:v>model_name</x:v>
      </x:c>
      <x:c r="N1" s="12" t="str">
        <x:v>priority</x:v>
      </x:c>
      <x:c r="O1" s="12" t="str">
        <x:v>recommended_action</x:v>
      </x:c>
      <x:c r="P1" s="12" t="str">
        <x:v>model_threshold</x:v>
      </x:c>
      <x:c r="Q1" s="12" t="str">
        <x:v>estimated_failure_cost</x:v>
      </x:c>
      <x:c r="R1" s="12" t="str">
        <x:v>estimated_maintenance_cost</x:v>
      </x:c>
      <x:c r="S1" s="12" t="str">
        <x:v>expected_failure_cost</x:v>
      </x:c>
      <x:c r="T1" s="12" t="str">
        <x:v>expected_avoided_loss</x:v>
      </x:c>
      <x:c r="U1" s="12" t="str">
        <x:v>expected_net_benefit</x:v>
      </x:c>
      <x:c r="V1" s="12" t="str">
        <x:v>risk_cost_ratio</x:v>
      </x:c>
      <x:c r="W1" s="12" t="str">
        <x:v>reason_codes</x:v>
      </x:c>
      <x:c r="X1" s="12" t="str">
        <x:v>human_approval_required</x:v>
      </x:c>
      <x:c r="Y1" s="13" t="str">
        <x:v>execution_mode</x:v>
      </x:c>
    </x:row>
    <x:row r="2" ht="15" hidden="0" customHeight="1">
      <x:c r="A2" s="2" t="str">
        <x:v>SH-MC-12-2025062916</x:v>
      </x:c>
      <x:c r="B2" s="2" t="str">
        <x:v>2025-06-29 16:00:00</x:v>
      </x:c>
      <x:c r="C2" s="2" t="str">
        <x:v>LINE-D</x:v>
      </x:c>
      <x:c r="D2" s="2" t="str">
        <x:v>MC-12</x:v>
      </x:c>
      <x:c r="E2" s="2" t="str">
        <x:v>PRD-D</x:v>
      </x:c>
      <x:c r="F2" s="2" t="n">
        <x:v>5</x:v>
      </x:c>
      <x:c r="G2" s="2" t="n">
        <x:v>40100</x:v>
      </x:c>
      <x:c r="H2" s="2" t="n">
        <x:v>4060</x:v>
      </x:c>
      <x:c r="I2" s="2" t="n">
        <x:v>0</x:v>
      </x:c>
      <x:c r="J2" s="2"/>
      <x:c r="K2" s="2" t="n">
        <x:v>0.3412982955006608</x:v>
      </x:c>
      <x:c r="L2" s="2" t="n">
        <x:v>1</x:v>
      </x:c>
      <x:c r="M2" s="2" t="str">
        <x:v>random_forest</x:v>
      </x:c>
      <x:c r="N2" s="2" t="str">
        <x:v>P1</x:v>
      </x:c>
      <x:c r="O2" s="2" t="str">
        <x:v>Inspect within 8 hours; maintenance planner approval required</x:v>
      </x:c>
      <x:c r="P2" s="2" t="n">
        <x:v>0.1477606755877041</x:v>
      </x:c>
      <x:c r="Q2" s="2" t="n">
        <x:v>40100</x:v>
      </x:c>
      <x:c r="R2" s="2" t="n">
        <x:v>4060</x:v>
      </x:c>
      <x:c r="S2" s="2" t="n">
        <x:v>17107.577061970624</x:v>
      </x:c>
      <x:c r="T2" s="2" t="n">
        <x:v>11119.925090280905</x:v>
      </x:c>
      <x:c r="U2" s="2" t="n">
        <x:v>7059.925090280905</x:v>
      </x:c>
      <x:c r="V2" s="2" t="n">
        <x:v>2.7388978054879076</x:v>
      </x:c>
      <x:c r="W2" s="2" t="str">
        <x:v>['MODEL_RISK_SCORE']</x:v>
      </x:c>
      <x:c r="X2" s="14" t="b">
        <x:v>1</x:v>
      </x:c>
      <x:c r="Y2" s="2" t="str">
        <x:v>recommendation_only</x:v>
      </x:c>
    </x:row>
    <x:row r="3" ht="15" hidden="0" customHeight="1">
      <x:c r="A3" s="2" t="str">
        <x:v>SH-MC-05-2025062916</x:v>
      </x:c>
      <x:c r="B3" s="2" t="str">
        <x:v>2025-06-29 16:00:00</x:v>
      </x:c>
      <x:c r="C3" s="2" t="str">
        <x:v>LINE-B</x:v>
      </x:c>
      <x:c r="D3" s="2" t="str">
        <x:v>MC-05</x:v>
      </x:c>
      <x:c r="E3" s="2" t="str">
        <x:v>PRD-A</x:v>
      </x:c>
      <x:c r="F3" s="2" t="n">
        <x:v>5</x:v>
      </x:c>
      <x:c r="G3" s="2" t="n">
        <x:v>37700</x:v>
      </x:c>
      <x:c r="H3" s="2" t="n">
        <x:v>3880</x:v>
      </x:c>
      <x:c r="I3" s="2" t="n">
        <x:v>1</x:v>
      </x:c>
      <x:c r="J3" s="2" t="n">
        <x:v>24</x:v>
      </x:c>
      <x:c r="K3" s="2" t="n">
        <x:v>0.2789684094684845</x:v>
      </x:c>
      <x:c r="L3" s="2" t="n">
        <x:v>1</x:v>
      </x:c>
      <x:c r="M3" s="2" t="str">
        <x:v>random_forest</x:v>
      </x:c>
      <x:c r="N3" s="2" t="str">
        <x:v>P1</x:v>
      </x:c>
      <x:c r="O3" s="2" t="str">
        <x:v>Inspect within 8 hours; maintenance planner approval required</x:v>
      </x:c>
      <x:c r="P3" s="2" t="n">
        <x:v>0.1477606755877041</x:v>
      </x:c>
      <x:c r="Q3" s="2" t="n">
        <x:v>37700</x:v>
      </x:c>
      <x:c r="R3" s="2" t="n">
        <x:v>3880</x:v>
      </x:c>
      <x:c r="S3" s="2" t="n">
        <x:v>13146.38629620233</x:v>
      </x:c>
      <x:c r="T3" s="2" t="n">
        <x:v>8545.151092531514</x:v>
      </x:c>
      <x:c r="U3" s="2" t="n">
        <x:v>4665.151092531514</x:v>
      </x:c>
      <x:c r="V3" s="2" t="n">
        <x:v>2.2023585290029675</x:v>
      </x:c>
      <x:c r="W3" s="2" t="str">
        <x:v>['MODEL_RISK_SCORE']</x:v>
      </x:c>
      <x:c r="X3" s="14" t="b">
        <x:v>1</x:v>
      </x:c>
      <x:c r="Y3" s="2" t="str">
        <x:v>recommendation_only</x:v>
      </x:c>
    </x:row>
    <x:row r="4" ht="15" hidden="0" customHeight="1">
      <x:c r="A4" s="2" t="str">
        <x:v>SH-MC-02-2025062916</x:v>
      </x:c>
      <x:c r="B4" s="2" t="str">
        <x:v>2025-06-29 16:00:00</x:v>
      </x:c>
      <x:c r="C4" s="2" t="str">
        <x:v>LINE-A</x:v>
      </x:c>
      <x:c r="D4" s="2" t="str">
        <x:v>MC-02</x:v>
      </x:c>
      <x:c r="E4" s="2" t="str">
        <x:v>PRD-B</x:v>
      </x:c>
      <x:c r="F4" s="2" t="n">
        <x:v>4</x:v>
      </x:c>
      <x:c r="G4" s="2" t="n">
        <x:v>31000</x:v>
      </x:c>
      <x:c r="H4" s="2" t="n">
        <x:v>3460</x:v>
      </x:c>
      <x:c r="I4" s="2" t="n">
        <x:v>0</x:v>
      </x:c>
      <x:c r="J4" s="2"/>
      <x:c r="K4" s="2" t="n">
        <x:v>0.33643287118258147</x:v>
      </x:c>
      <x:c r="L4" s="2" t="n">
        <x:v>1</x:v>
      </x:c>
      <x:c r="M4" s="2" t="str">
        <x:v>random_forest</x:v>
      </x:c>
      <x:c r="N4" s="2" t="str">
        <x:v>P1</x:v>
      </x:c>
      <x:c r="O4" s="2" t="str">
        <x:v>Inspect within 8 hours; maintenance planner approval required</x:v>
      </x:c>
      <x:c r="P4" s="2" t="n">
        <x:v>0.1477606755877041</x:v>
      </x:c>
      <x:c r="Q4" s="2" t="n">
        <x:v>31000</x:v>
      </x:c>
      <x:c r="R4" s="2" t="n">
        <x:v>3460</x:v>
      </x:c>
      <x:c r="S4" s="2" t="n">
        <x:v>11993.831857659028</x:v>
      </x:c>
      <x:c r="T4" s="2" t="n">
        <x:v>7795.990707478369</x:v>
      </x:c>
      <x:c r="U4" s="2" t="n">
        <x:v>4335.990707478369</x:v>
      </x:c>
      <x:c r="V4" s="2" t="n">
        <x:v>2.2531765050515515</x:v>
      </x:c>
      <x:c r="W4" s="2" t="str">
        <x:v>['MODEL_RISK_SCORE']</x:v>
      </x:c>
      <x:c r="X4" s="14" t="b">
        <x:v>1</x:v>
      </x:c>
      <x:c r="Y4" s="2" t="str">
        <x:v>recommendation_only</x:v>
      </x:c>
    </x:row>
    <x:row r="5" ht="15" hidden="0" customHeight="1">
      <x:c r="A5" s="2" t="str">
        <x:v>SH-MC-04-2025062916</x:v>
      </x:c>
      <x:c r="B5" s="2" t="str">
        <x:v>2025-06-29 16:00:00</x:v>
      </x:c>
      <x:c r="C5" s="2" t="str">
        <x:v>LINE-B</x:v>
      </x:c>
      <x:c r="D5" s="2" t="str">
        <x:v>MC-04</x:v>
      </x:c>
      <x:c r="E5" s="2" t="str">
        <x:v>PRD-D</x:v>
      </x:c>
      <x:c r="F5" s="2" t="n">
        <x:v>4</x:v>
      </x:c>
      <x:c r="G5" s="2" t="n">
        <x:v>32200</x:v>
      </x:c>
      <x:c r="H5" s="2" t="n">
        <x:v>3280</x:v>
      </x:c>
      <x:c r="I5" s="2" t="n">
        <x:v>0</x:v>
      </x:c>
      <x:c r="J5" s="2"/>
      <x:c r="K5" s="2" t="n">
        <x:v>0.21578260886584286</x:v>
      </x:c>
      <x:c r="L5" s="2" t="n">
        <x:v>1</x:v>
      </x:c>
      <x:c r="M5" s="2" t="str">
        <x:v>random_forest</x:v>
      </x:c>
      <x:c r="N5" s="2" t="str">
        <x:v>P1</x:v>
      </x:c>
      <x:c r="O5" s="2" t="str">
        <x:v>Inspect within 8 hours; maintenance planner approval required</x:v>
      </x:c>
      <x:c r="P5" s="2" t="n">
        <x:v>0.1477606755877041</x:v>
      </x:c>
      <x:c r="Q5" s="2" t="n">
        <x:v>32200</x:v>
      </x:c>
      <x:c r="R5" s="2" t="n">
        <x:v>3280</x:v>
      </x:c>
      <x:c r="S5" s="2" t="n">
        <x:v>7990.43000630216</x:v>
      </x:c>
      <x:c r="T5" s="2" t="n">
        <x:v>5193.779504096404</x:v>
      </x:c>
      <x:c r="U5" s="2" t="n">
        <x:v>1913.7795040964038</x:v>
      </x:c>
      <x:c r="V5" s="2" t="n">
        <x:v>1.5834693610050012</x:v>
      </x:c>
      <x:c r="W5" s="2" t="str">
        <x:v>['MODEL_RISK_SCORE']</x:v>
      </x:c>
      <x:c r="X5" s="14" t="b">
        <x:v>1</x:v>
      </x:c>
      <x:c r="Y5" s="2" t="str">
        <x:v>recommendation_only</x:v>
      </x:c>
    </x:row>
    <x:row r="6" ht="15" hidden="0" customHeight="1">
      <x:c r="A6" s="2" t="str">
        <x:v>SH-MC-03-2025062916</x:v>
      </x:c>
      <x:c r="B6" s="2" t="str">
        <x:v>2025-06-29 16:00:00</x:v>
      </x:c>
      <x:c r="C6" s="2" t="str">
        <x:v>LINE-A</x:v>
      </x:c>
      <x:c r="D6" s="2" t="str">
        <x:v>MC-03</x:v>
      </x:c>
      <x:c r="E6" s="2" t="str">
        <x:v>PRD-C</x:v>
      </x:c>
      <x:c r="F6" s="2" t="n">
        <x:v>5</x:v>
      </x:c>
      <x:c r="G6" s="2" t="n">
        <x:v>36500</x:v>
      </x:c>
      <x:c r="H6" s="2" t="n">
        <x:v>4060</x:v>
      </x:c>
      <x:c r="I6" s="2" t="n">
        <x:v>0</x:v>
      </x:c>
      <x:c r="J6" s="2"/>
      <x:c r="K6" s="2" t="n">
        <x:v>0.18904494328861346</x:v>
      </x:c>
      <x:c r="L6" s="2" t="n">
        <x:v>1</x:v>
      </x:c>
      <x:c r="M6" s="2" t="str">
        <x:v>random_forest</x:v>
      </x:c>
      <x:c r="N6" s="2" t="str">
        <x:v>P1</x:v>
      </x:c>
      <x:c r="O6" s="2" t="str">
        <x:v>Inspect within 8 hours; maintenance planner approval required</x:v>
      </x:c>
      <x:c r="P6" s="2" t="n">
        <x:v>0.1477606755877041</x:v>
      </x:c>
      <x:c r="Q6" s="2" t="n">
        <x:v>36500</x:v>
      </x:c>
      <x:c r="R6" s="2" t="n">
        <x:v>4060</x:v>
      </x:c>
      <x:c r="S6" s="2" t="n">
        <x:v>8625.17553754299</x:v>
      </x:c>
      <x:c r="T6" s="2" t="n">
        <x:v>5606.364099402943</x:v>
      </x:c>
      <x:c r="U6" s="2" t="n">
        <x:v>1546.3640994029429</x:v>
      </x:c>
      <x:c r="V6" s="2" t="n">
        <x:v>1.3808778569957987</x:v>
      </x:c>
      <x:c r="W6" s="2" t="str">
        <x:v>['MODEL_RISK_SCORE']</x:v>
      </x:c>
      <x:c r="X6" s="14" t="b">
        <x:v>1</x:v>
      </x:c>
      <x:c r="Y6" s="2" t="str">
        <x:v>recommendation_only</x:v>
      </x:c>
    </x:row>
    <x:row r="7" ht="15" hidden="0" customHeight="1">
      <x:c r="A7" s="2" t="str">
        <x:v>SH-MC-10-2025062916</x:v>
      </x:c>
      <x:c r="B7" s="2" t="str">
        <x:v>2025-06-29 16:00:00</x:v>
      </x:c>
      <x:c r="C7" s="2" t="str">
        <x:v>LINE-D</x:v>
      </x:c>
      <x:c r="D7" s="2" t="str">
        <x:v>MC-10</x:v>
      </x:c>
      <x:c r="E7" s="2" t="str">
        <x:v>PRD-B</x:v>
      </x:c>
      <x:c r="F7" s="2" t="n">
        <x:v>3</x:v>
      </x:c>
      <x:c r="G7" s="2" t="n">
        <x:v>29100</x:v>
      </x:c>
      <x:c r="H7" s="2" t="n">
        <x:v>2860</x:v>
      </x:c>
      <x:c r="I7" s="2" t="n">
        <x:v>0</x:v>
      </x:c>
      <x:c r="J7" s="2"/>
      <x:c r="K7" s="2" t="n">
        <x:v>0.08290453895120602</x:v>
      </x:c>
      <x:c r="L7" s="2" t="n">
        <x:v>0</x:v>
      </x:c>
      <x:c r="M7" s="2" t="str">
        <x:v>random_forest</x:v>
      </x:c>
      <x:c r="N7" s="2" t="str">
        <x:v>MONITOR</x:v>
      </x:c>
      <x:c r="O7" s="2" t="str">
        <x:v>Continue standard monitoring</x:v>
      </x:c>
      <x:c r="P7" s="2" t="n">
        <x:v>0.1477606755877041</x:v>
      </x:c>
      <x:c r="Q7" s="2" t="n">
        <x:v>29100</x:v>
      </x:c>
      <x:c r="R7" s="2" t="n">
        <x:v>2860</x:v>
      </x:c>
      <x:c r="S7" s="2" t="n">
        <x:v>2533.1481876541</x:v>
      </x:c>
      <x:c r="T7" s="2" t="n">
        <x:v>1646.5463219751653</x:v>
      </x:c>
      <x:c r="U7" s="2" t="n">
        <x:v>-1213.4536780248347</x:v>
      </x:c>
      <x:c r="V7" s="2" t="n">
        <x:v>0.5757154971941137</x:v>
      </x:c>
      <x:c r="W7" s="2" t="str">
        <x:v>['MODEL_RISK_SCORE']</x:v>
      </x:c>
      <x:c r="X7" s="14" t="b">
        <x:v>1</x:v>
      </x:c>
      <x:c r="Y7" s="2" t="str">
        <x:v>recommendation_only</x:v>
      </x:c>
    </x:row>
    <x:row r="8" ht="15" hidden="0" customHeight="1">
      <x:c r="A8" s="2" t="str">
        <x:v>SH-MC-01-2025062916</x:v>
      </x:c>
      <x:c r="B8" s="2" t="str">
        <x:v>2025-06-29 16:00:00</x:v>
      </x:c>
      <x:c r="C8" s="2" t="str">
        <x:v>LINE-A</x:v>
      </x:c>
      <x:c r="D8" s="2" t="str">
        <x:v>MC-01</x:v>
      </x:c>
      <x:c r="E8" s="2" t="str">
        <x:v>PRD-A</x:v>
      </x:c>
      <x:c r="F8" s="2" t="n">
        <x:v>3</x:v>
      </x:c>
      <x:c r="G8" s="2" t="n">
        <x:v>25500</x:v>
      </x:c>
      <x:c r="H8" s="2" t="n">
        <x:v>2860</x:v>
      </x:c>
      <x:c r="I8" s="2" t="n">
        <x:v>0</x:v>
      </x:c>
      <x:c r="J8" s="2"/>
      <x:c r="K8" s="2" t="n">
        <x:v>0.09079739986160722</x:v>
      </x:c>
      <x:c r="L8" s="2" t="n">
        <x:v>0</x:v>
      </x:c>
      <x:c r="M8" s="2" t="str">
        <x:v>random_forest</x:v>
      </x:c>
      <x:c r="N8" s="2" t="str">
        <x:v>MONITOR</x:v>
      </x:c>
      <x:c r="O8" s="2" t="str">
        <x:v>Continue standard monitoring</x:v>
      </x:c>
      <x:c r="P8" s="2" t="n">
        <x:v>0.1477606755877041</x:v>
      </x:c>
      <x:c r="Q8" s="2" t="n">
        <x:v>25500</x:v>
      </x:c>
      <x:c r="R8" s="2" t="n">
        <x:v>2860</x:v>
      </x:c>
      <x:c r="S8" s="2" t="n">
        <x:v>2431.1003812945337</x:v>
      </x:c>
      <x:c r="T8" s="2" t="n">
        <x:v>1580.2152478414469</x:v>
      </x:c>
      <x:c r="U8" s="2" t="n">
        <x:v>-1279.7847521585531</x:v>
      </x:c>
      <x:c r="V8" s="2" t="n">
        <x:v>0.5525228139305758</x:v>
      </x:c>
      <x:c r="W8" s="2" t="str">
        <x:v>['MODEL_RISK_SCORE']</x:v>
      </x:c>
      <x:c r="X8" s="14" t="b">
        <x:v>1</x:v>
      </x:c>
      <x:c r="Y8" s="2" t="str">
        <x:v>recommendation_only</x:v>
      </x:c>
    </x:row>
    <x:row r="9" ht="15" hidden="0" customHeight="1">
      <x:c r="A9" s="2" t="str">
        <x:v>SH-MC-06-2025062916</x:v>
      </x:c>
      <x:c r="B9" s="2" t="str">
        <x:v>2025-06-29 16:00:00</x:v>
      </x:c>
      <x:c r="C9" s="2" t="str">
        <x:v>LINE-B</x:v>
      </x:c>
      <x:c r="D9" s="2" t="str">
        <x:v>MC-06</x:v>
      </x:c>
      <x:c r="E9" s="2" t="str">
        <x:v>PRD-B</x:v>
      </x:c>
      <x:c r="F9" s="2" t="n">
        <x:v>3</x:v>
      </x:c>
      <x:c r="G9" s="2" t="n">
        <x:v>26700</x:v>
      </x:c>
      <x:c r="H9" s="2" t="n">
        <x:v>3220</x:v>
      </x:c>
      <x:c r="I9" s="2" t="n">
        <x:v>0</x:v>
      </x:c>
      <x:c r="J9" s="2"/>
      <x:c r="K9" s="2" t="n">
        <x:v>0.07679629013744088</x:v>
      </x:c>
      <x:c r="L9" s="2" t="n">
        <x:v>0</x:v>
      </x:c>
      <x:c r="M9" s="2" t="str">
        <x:v>random_forest</x:v>
      </x:c>
      <x:c r="N9" s="2" t="str">
        <x:v>MONITOR</x:v>
      </x:c>
      <x:c r="O9" s="2" t="str">
        <x:v>Continue standard monitoring</x:v>
      </x:c>
      <x:c r="P9" s="2" t="n">
        <x:v>0.1477606755877041</x:v>
      </x:c>
      <x:c r="Q9" s="2" t="n">
        <x:v>26700</x:v>
      </x:c>
      <x:c r="R9" s="2" t="n">
        <x:v>3220</x:v>
      </x:c>
      <x:c r="S9" s="2" t="n">
        <x:v>2152.983994003155</x:v>
      </x:c>
      <x:c r="T9" s="2" t="n">
        <x:v>1399.439596102051</x:v>
      </x:c>
      <x:c r="U9" s="2" t="n">
        <x:v>-1820.560403897949</x:v>
      </x:c>
      <x:c r="V9" s="2" t="n">
        <x:v>0.43460857021802823</x:v>
      </x:c>
      <x:c r="W9" s="2" t="str">
        <x:v>['MODEL_RISK_SCORE']</x:v>
      </x:c>
      <x:c r="X9" s="14" t="b">
        <x:v>1</x:v>
      </x:c>
      <x:c r="Y9" s="2" t="str">
        <x:v>recommendation_only</x:v>
      </x:c>
    </x:row>
    <x:row r="10" ht="15" hidden="0" customHeight="1">
      <x:c r="A10" s="2" t="str">
        <x:v>SH-MC-07-2025062916</x:v>
      </x:c>
      <x:c r="B10" s="2" t="str">
        <x:v>2025-06-29 16:00:00</x:v>
      </x:c>
      <x:c r="C10" s="2" t="str">
        <x:v>LINE-C</x:v>
      </x:c>
      <x:c r="D10" s="2" t="str">
        <x:v>MC-07</x:v>
      </x:c>
      <x:c r="E10" s="2" t="str">
        <x:v>PRD-C</x:v>
      </x:c>
      <x:c r="F10" s="2" t="n">
        <x:v>5</x:v>
      </x:c>
      <x:c r="G10" s="2" t="n">
        <x:v>38900</x:v>
      </x:c>
      <x:c r="H10" s="2" t="n">
        <x:v>3700</x:v>
      </x:c>
      <x:c r="I10" s="2" t="n">
        <x:v>0</x:v>
      </x:c>
      <x:c r="J10" s="2"/>
      <x:c r="K10" s="2" t="n">
        <x:v>0.05425437206193842</x:v>
      </x:c>
      <x:c r="L10" s="2" t="n">
        <x:v>0</x:v>
      </x:c>
      <x:c r="M10" s="2" t="str">
        <x:v>random_forest</x:v>
      </x:c>
      <x:c r="N10" s="2" t="str">
        <x:v>MONITOR</x:v>
      </x:c>
      <x:c r="O10" s="2" t="str">
        <x:v>Continue standard monitoring</x:v>
      </x:c>
      <x:c r="P10" s="2" t="n">
        <x:v>0.1477606755877041</x:v>
      </x:c>
      <x:c r="Q10" s="2" t="n">
        <x:v>38900</x:v>
      </x:c>
      <x:c r="R10" s="2" t="n">
        <x:v>3700</x:v>
      </x:c>
      <x:c r="S10" s="2" t="n">
        <x:v>2638.1188415117554</x:v>
      </x:c>
      <x:c r="T10" s="2" t="n">
        <x:v>1714.7772469826411</x:v>
      </x:c>
      <x:c r="U10" s="2" t="n">
        <x:v>-1985.2227530173589</x:v>
      </x:c>
      <x:c r="V10" s="2" t="n">
        <x:v>0.4634533099953084</x:v>
      </x:c>
      <x:c r="W10" s="2" t="str">
        <x:v>['MODEL_RISK_SCORE']</x:v>
      </x:c>
      <x:c r="X10" s="14" t="b">
        <x:v>1</x:v>
      </x:c>
      <x:c r="Y10" s="2" t="str">
        <x:v>recommendation_only</x:v>
      </x:c>
    </x:row>
    <x:row r="11" ht="15" hidden="0" customHeight="1">
      <x:c r="A11" s="2" t="str">
        <x:v>SH-MC-09-2025062916</x:v>
      </x:c>
      <x:c r="B11" s="2" t="str">
        <x:v>2025-06-29 16:00:00</x:v>
      </x:c>
      <x:c r="C11" s="2" t="str">
        <x:v>LINE-C</x:v>
      </x:c>
      <x:c r="D11" s="2" t="str">
        <x:v>MC-09</x:v>
      </x:c>
      <x:c r="E11" s="2" t="str">
        <x:v>PRD-A</x:v>
      </x:c>
      <x:c r="F11" s="2" t="n">
        <x:v>4</x:v>
      </x:c>
      <x:c r="G11" s="2" t="n">
        <x:v>33400</x:v>
      </x:c>
      <x:c r="H11" s="2" t="n">
        <x:v>3640</x:v>
      </x:c>
      <x:c r="I11" s="2" t="n">
        <x:v>1</x:v>
      </x:c>
      <x:c r="J11" s="2" t="n">
        <x:v>16</x:v>
      </x:c>
      <x:c r="K11" s="2" t="n">
        <x:v>0.06340204111107393</x:v>
      </x:c>
      <x:c r="L11" s="2" t="n">
        <x:v>0</x:v>
      </x:c>
      <x:c r="M11" s="2" t="str">
        <x:v>random_forest</x:v>
      </x:c>
      <x:c r="N11" s="2" t="str">
        <x:v>MONITOR</x:v>
      </x:c>
      <x:c r="O11" s="2" t="str">
        <x:v>Continue standard monitoring</x:v>
      </x:c>
      <x:c r="P11" s="2" t="n">
        <x:v>0.1477606755877041</x:v>
      </x:c>
      <x:c r="Q11" s="2" t="n">
        <x:v>33400</x:v>
      </x:c>
      <x:c r="R11" s="2" t="n">
        <x:v>3640</x:v>
      </x:c>
      <x:c r="S11" s="2" t="n">
        <x:v>2435.2723990763493</x:v>
      </x:c>
      <x:c r="T11" s="2" t="n">
        <x:v>1582.927059399627</x:v>
      </x:c>
      <x:c r="U11" s="2" t="n">
        <x:v>-2057.072940600373</x:v>
      </x:c>
      <x:c r="V11" s="2" t="n">
        <x:v>0.4348700712636338</x:v>
      </x:c>
      <x:c r="W11" s="2" t="str">
        <x:v>['MODEL_RISK_SCORE']</x:v>
      </x:c>
      <x:c r="X11" s="14" t="b">
        <x:v>1</x:v>
      </x:c>
      <x:c r="Y11" s="2" t="str">
        <x:v>recommendation_only</x:v>
      </x:c>
    </x:row>
    <x:row r="12" ht="15" hidden="0" customHeight="1">
      <x:c r="A12" s="2" t="str">
        <x:v>SH-MC-08-2025062916</x:v>
      </x:c>
      <x:c r="B12" s="2" t="str">
        <x:v>2025-06-29 16:00:00</x:v>
      </x:c>
      <x:c r="C12" s="2" t="str">
        <x:v>LINE-C</x:v>
      </x:c>
      <x:c r="D12" s="2" t="str">
        <x:v>MC-08</x:v>
      </x:c>
      <x:c r="E12" s="2" t="str">
        <x:v>PRD-D</x:v>
      </x:c>
      <x:c r="F12" s="2" t="n">
        <x:v>3</x:v>
      </x:c>
      <x:c r="G12" s="2" t="n">
        <x:v>27900</x:v>
      </x:c>
      <x:c r="H12" s="2" t="n">
        <x:v>3040</x:v>
      </x:c>
      <x:c r="I12" s="2" t="n">
        <x:v>0</x:v>
      </x:c>
      <x:c r="J12" s="2"/>
      <x:c r="K12" s="2" t="n">
        <x:v>0.04130995061154855</x:v>
      </x:c>
      <x:c r="L12" s="2" t="n">
        <x:v>0</x:v>
      </x:c>
      <x:c r="M12" s="2" t="str">
        <x:v>random_forest</x:v>
      </x:c>
      <x:c r="N12" s="2" t="str">
        <x:v>MONITOR</x:v>
      </x:c>
      <x:c r="O12" s="2" t="str">
        <x:v>Continue standard monitoring</x:v>
      </x:c>
      <x:c r="P12" s="2" t="n">
        <x:v>0.1477606755877041</x:v>
      </x:c>
      <x:c r="Q12" s="2" t="n">
        <x:v>27900</x:v>
      </x:c>
      <x:c r="R12" s="2" t="n">
        <x:v>3040</x:v>
      </x:c>
      <x:c r="S12" s="2" t="n">
        <x:v>1210.175003165315</x:v>
      </x:c>
      <x:c r="T12" s="2" t="n">
        <x:v>786.6137520574548</x:v>
      </x:c>
      <x:c r="U12" s="2" t="n">
        <x:v>-2253.386247942545</x:v>
      </x:c>
      <x:c r="V12" s="2" t="n">
        <x:v>0.25875452370311014</x:v>
      </x:c>
      <x:c r="W12" s="2" t="str">
        <x:v>['MODEL_RISK_SCORE']</x:v>
      </x:c>
      <x:c r="X12" s="14" t="b">
        <x:v>1</x:v>
      </x:c>
      <x:c r="Y12" s="2" t="str">
        <x:v>recommendation_only</x:v>
      </x:c>
    </x:row>
    <x:row r="13" ht="15" hidden="0" customHeight="1">
      <x:c r="A13" s="2" t="str">
        <x:v>SH-MC-11-2025062916</x:v>
      </x:c>
      <x:c r="B13" s="2" t="str">
        <x:v>2025-06-29 16:00:00</x:v>
      </x:c>
      <x:c r="C13" s="2" t="str">
        <x:v>LINE-D</x:v>
      </x:c>
      <x:c r="D13" s="2" t="str">
        <x:v>MC-11</x:v>
      </x:c>
      <x:c r="E13" s="2" t="str">
        <x:v>PRD-C</x:v>
      </x:c>
      <x:c r="F13" s="2" t="n">
        <x:v>4</x:v>
      </x:c>
      <x:c r="G13" s="2" t="n">
        <x:v>34600</x:v>
      </x:c>
      <x:c r="H13" s="2" t="n">
        <x:v>3460</x:v>
      </x:c>
      <x:c r="I13" s="2" t="n">
        <x:v>0</x:v>
      </x:c>
      <x:c r="J13" s="2"/>
      <x:c r="K13" s="2" t="n">
        <x:v>0.04162540371873109</x:v>
      </x:c>
      <x:c r="L13" s="2" t="n">
        <x:v>0</x:v>
      </x:c>
      <x:c r="M13" s="2" t="str">
        <x:v>random_forest</x:v>
      </x:c>
      <x:c r="N13" s="2" t="str">
        <x:v>MONITOR</x:v>
      </x:c>
      <x:c r="O13" s="2" t="str">
        <x:v>Continue standard monitoring</x:v>
      </x:c>
      <x:c r="P13" s="2" t="n">
        <x:v>0.1477606755877041</x:v>
      </x:c>
      <x:c r="Q13" s="2" t="n">
        <x:v>34600</x:v>
      </x:c>
      <x:c r="R13" s="2" t="n">
        <x:v>3460</x:v>
      </x:c>
      <x:c r="S13" s="2" t="n">
        <x:v>1656.27481396831</x:v>
      </x:c>
      <x:c r="T13" s="2" t="n">
        <x:v>1076.5786290794015</x:v>
      </x:c>
      <x:c r="U13" s="2" t="n">
        <x:v>-2383.4213709205987</x:v>
      </x:c>
      <x:c r="V13" s="2" t="n">
        <x:v>0.31114989279751487</x:v>
      </x:c>
      <x:c r="W13" s="2" t="str">
        <x:v>['MODEL_RISK_SCORE']</x:v>
      </x:c>
      <x:c r="X13" s="14" t="b">
        <x:v>1</x:v>
      </x:c>
      <x:c r="Y13" s="2" t="str">
        <x:v>recommendation_only</x:v>
      </x:c>
    </x:row>
  </x:sheetData>
  <x:pageMargins left="0.7" right="0.7" top="0.75" bottom="0.75" header="0.3" footer="0.3"/>
  <x:tableParts count="1">
    <x:tablePart xmlns:r="http://schemas.openxmlformats.org/officeDocument/2006/relationships" r:id="R856f45fe26474c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4" hidden="0" customWidth="1"/>
  </x:cols>
  <x:sheetData>
    <x:row r="1" ht="15" hidden="0" customHeight="1">
      <x:c r="A1" s="11" t="str">
        <x:v>feature</x:v>
      </x:c>
      <x:c r="B1" s="12" t="str">
        <x:v>feature_type</x:v>
      </x:c>
      <x:c r="C1" s="12" t="str">
        <x:v>psi</x:v>
      </x:c>
      <x:c r="D1" s="13" t="str">
        <x:v>severity</x:v>
      </x:c>
    </x:row>
    <x:row r="2" ht="15" hidden="0" customHeight="1">
      <x:c r="A2" s="2" t="str">
        <x:v>cumulative_operating_hours</x:v>
      </x:c>
      <x:c r="B2" s="2" t="str">
        <x:v>numeric</x:v>
      </x:c>
      <x:c r="C2" s="27" t="n">
        <x:v>8.899345677701184</x:v>
      </x:c>
      <x:c r="D2" s="2" t="str">
        <x:v>action</x:v>
      </x:c>
    </x:row>
    <x:row r="3" ht="15" hidden="0" customHeight="1">
      <x:c r="A3" s="2" t="str">
        <x:v>ambient_temperature_c</x:v>
      </x:c>
      <x:c r="B3" s="2" t="str">
        <x:v>numeric</x:v>
      </x:c>
      <x:c r="C3" s="27" t="n">
        <x:v>3.8838862018548106</x:v>
      </x:c>
      <x:c r="D3" s="2" t="str">
        <x:v>action</x:v>
      </x:c>
    </x:row>
    <x:row r="4" ht="15" hidden="0" customHeight="1">
      <x:c r="A4" s="2" t="str">
        <x:v>ambient_humidity_pct</x:v>
      </x:c>
      <x:c r="B4" s="2" t="str">
        <x:v>numeric</x:v>
      </x:c>
      <x:c r="C4" s="27" t="n">
        <x:v>0.5603724292761374</x:v>
      </x:c>
      <x:c r="D4" s="2" t="str">
        <x:v>action</x:v>
      </x:c>
    </x:row>
    <x:row r="5" ht="15" hidden="0" customHeight="1">
      <x:c r="A5" s="2" t="str">
        <x:v>temperature_c</x:v>
      </x:c>
      <x:c r="B5" s="2" t="str">
        <x:v>numeric</x:v>
      </x:c>
      <x:c r="C5" s="27" t="n">
        <x:v>0.07726410918371504</x:v>
      </x:c>
      <x:c r="D5" s="2" t="str">
        <x:v>stable</x:v>
      </x:c>
    </x:row>
    <x:row r="6" ht="15" hidden="0" customHeight="1">
      <x:c r="A6" s="2" t="str">
        <x:v>failures_last_30d</x:v>
      </x:c>
      <x:c r="B6" s="2" t="str">
        <x:v>numeric</x:v>
      </x:c>
      <x:c r="C6" s="27" t="n">
        <x:v>0.054339504700513325</x:v>
      </x:c>
      <x:c r="D6" s="2" t="str">
        <x:v>stable</x:v>
      </x:c>
    </x:row>
    <x:row r="7" ht="15" hidden="0" customHeight="1">
      <x:c r="A7" s="2" t="str">
        <x:v>downtime_last_7d_min</x:v>
      </x:c>
      <x:c r="B7" s="2" t="str">
        <x:v>numeric</x:v>
      </x:c>
      <x:c r="C7" s="27" t="n">
        <x:v>0.01476489640243617</x:v>
      </x:c>
      <x:c r="D7" s="2" t="str">
        <x:v>stable</x:v>
      </x:c>
    </x:row>
    <x:row r="8" ht="15" hidden="0" customHeight="1">
      <x:c r="A8" s="2" t="str">
        <x:v>lubrication_index</x:v>
      </x:c>
      <x:c r="B8" s="2" t="str">
        <x:v>numeric</x:v>
      </x:c>
      <x:c r="C8" s="27" t="n">
        <x:v>0.005587512966584136</x:v>
      </x:c>
      <x:c r="D8" s="2" t="str">
        <x:v>stable</x:v>
      </x:c>
    </x:row>
    <x:row r="9" ht="15" hidden="0" customHeight="1">
      <x:c r="A9" s="2" t="str">
        <x:v>hours_since_maintenance</x:v>
      </x:c>
      <x:c r="B9" s="2" t="str">
        <x:v>numeric</x:v>
      </x:c>
      <x:c r="C9" s="27" t="n">
        <x:v>0.004759354298633557</x:v>
      </x:c>
      <x:c r="D9" s="2" t="str">
        <x:v>stable</x:v>
      </x:c>
    </x:row>
    <x:row r="10" ht="15" hidden="0" customHeight="1">
      <x:c r="A10" s="2" t="str">
        <x:v>pressure_bar</x:v>
      </x:c>
      <x:c r="B10" s="2" t="str">
        <x:v>numeric</x:v>
      </x:c>
      <x:c r="C10" s="27" t="n">
        <x:v>0.004659115610155491</x:v>
      </x:c>
      <x:c r="D10" s="2" t="str">
        <x:v>stable</x:v>
      </x:c>
    </x:row>
    <x:row r="11" ht="15" hidden="0" customHeight="1">
      <x:c r="A11" s="2" t="str">
        <x:v>current_amp</x:v>
      </x:c>
      <x:c r="B11" s="2" t="str">
        <x:v>numeric</x:v>
      </x:c>
      <x:c r="C11" s="27" t="n">
        <x:v>0.004039404449841088</x:v>
      </x:c>
      <x:c r="D11" s="2" t="str">
        <x:v>stable</x:v>
      </x:c>
    </x:row>
    <x:row r="12" ht="15" hidden="0" customHeight="1">
      <x:c r="A12" s="2" t="str">
        <x:v>tool_wear_pct</x:v>
      </x:c>
      <x:c r="B12" s="2" t="str">
        <x:v>numeric</x:v>
      </x:c>
      <x:c r="C12" s="27" t="n">
        <x:v>0.003880731047394783</x:v>
      </x:c>
      <x:c r="D12" s="2" t="str">
        <x:v>stable</x:v>
      </x:c>
    </x:row>
    <x:row r="13" ht="15" hidden="0" customHeight="1">
      <x:c r="A13" s="2" t="str">
        <x:v>defect_rate_lag_1</x:v>
      </x:c>
      <x:c r="B13" s="2" t="str">
        <x:v>numeric</x:v>
      </x:c>
      <x:c r="C13" s="27" t="n">
        <x:v>0.0030956608277758844</x:v>
      </x:c>
      <x:c r="D13" s="2" t="str">
        <x:v>stable</x:v>
      </x:c>
    </x:row>
    <x:row r="14" ht="15" hidden="0" customHeight="1">
      <x:c r="A14" s="2" t="str">
        <x:v>vibration_rms</x:v>
      </x:c>
      <x:c r="B14" s="2" t="str">
        <x:v>numeric</x:v>
      </x:c>
      <x:c r="C14" s="27" t="n">
        <x:v>0.0023990680484995332</x:v>
      </x:c>
      <x:c r="D14" s="2" t="str">
        <x:v>stable</x:v>
      </x:c>
    </x:row>
    <x:row r="15" ht="15" hidden="0" customHeight="1">
      <x:c r="A15" s="2" t="str">
        <x:v>vibration_rolling_3</x:v>
      </x:c>
      <x:c r="B15" s="2" t="str">
        <x:v>numeric</x:v>
      </x:c>
      <x:c r="C15" s="27" t="n">
        <x:v>0.002007678522749195</x:v>
      </x:c>
      <x:c r="D15" s="2" t="str">
        <x:v>stable</x:v>
      </x:c>
    </x:row>
    <x:row r="16" ht="15" hidden="0" customHeight="1">
      <x:c r="A16" s="2" t="str">
        <x:v>planned_downtime_min</x:v>
      </x:c>
      <x:c r="B16" s="2" t="str">
        <x:v>numeric</x:v>
      </x:c>
      <x:c r="C16" s="27" t="n">
        <x:v>5.173307512399099e-8</x:v>
      </x:c>
      <x:c r="D16" s="2" t="str">
        <x:v>stable</x:v>
      </x:c>
    </x:row>
    <x:row r="17" ht="15" hidden="0" customHeight="1">
      <x:c r="A17" s="2" t="str">
        <x:v>criticality</x:v>
      </x:c>
      <x:c r="B17" s="2" t="str">
        <x:v>numeric</x:v>
      </x:c>
      <x:c r="C17" s="27" t="n">
        <x:v>0</x:v>
      </x:c>
      <x:c r="D17" s="2" t="str">
        <x:v>stable</x:v>
      </x:c>
    </x:row>
    <x:row r="18" ht="15" hidden="0" customHeight="1">
      <x:c r="A18" s="2" t="str">
        <x:v>machine_age_years</x:v>
      </x:c>
      <x:c r="B18" s="2" t="str">
        <x:v>numeric</x:v>
      </x:c>
      <x:c r="C18" s="27" t="n">
        <x:v>0</x:v>
      </x:c>
      <x:c r="D18" s="2" t="str">
        <x:v>stable</x:v>
      </x:c>
    </x:row>
    <x:row r="19" ht="15" hidden="0" customHeight="1">
      <x:c r="A19" s="2" t="str">
        <x:v>changeover_count</x:v>
      </x:c>
      <x:c r="B19" s="2" t="str">
        <x:v>numeric</x:v>
      </x:c>
      <x:c r="C19" s="27" t="n">
        <x:v>0</x:v>
      </x:c>
      <x:c r="D19" s="2" t="str">
        <x:v>stable</x:v>
      </x:c>
    </x:row>
    <x:row r="20" ht="15" hidden="0" customHeight="1">
      <x:c r="A20" s="2" t="str">
        <x:v>line_id</x:v>
      </x:c>
      <x:c r="B20" s="2" t="str">
        <x:v>categorical</x:v>
      </x:c>
      <x:c r="C20" s="27" t="n">
        <x:v>0</x:v>
      </x:c>
      <x:c r="D20" s="2" t="str">
        <x:v>stable</x:v>
      </x:c>
    </x:row>
    <x:row r="21" ht="15" hidden="0" customHeight="1">
      <x:c r="A21" s="2" t="str">
        <x:v>machine_id</x:v>
      </x:c>
      <x:c r="B21" s="2" t="str">
        <x:v>categorical</x:v>
      </x:c>
      <x:c r="C21" s="27" t="n">
        <x:v>0</x:v>
      </x:c>
      <x:c r="D21" s="2" t="str">
        <x:v>stable</x:v>
      </x:c>
    </x:row>
    <x:row r="22" ht="15" hidden="0" customHeight="1">
      <x:c r="A22" s="2" t="str">
        <x:v>machine_type</x:v>
      </x:c>
      <x:c r="B22" s="2" t="str">
        <x:v>categorical</x:v>
      </x:c>
      <x:c r="C22" s="27" t="n">
        <x:v>0</x:v>
      </x:c>
      <x:c r="D22" s="2" t="str">
        <x:v>stable</x:v>
      </x:c>
    </x:row>
    <x:row r="23" ht="15" hidden="0" customHeight="1">
      <x:c r="A23" s="2" t="str">
        <x:v>product_id</x:v>
      </x:c>
      <x:c r="B23" s="2" t="str">
        <x:v>categorical</x:v>
      </x:c>
      <x:c r="C23" s="27" t="n">
        <x:v>0</x:v>
      </x:c>
      <x:c r="D23" s="2" t="str">
        <x:v>stable</x:v>
      </x:c>
    </x:row>
    <x:row r="24" ht="15" hidden="0" customHeight="1">
      <x:c r="A24" s="2" t="str">
        <x:v>shift</x:v>
      </x:c>
      <x:c r="B24" s="2" t="str">
        <x:v>categorical</x:v>
      </x:c>
      <x:c r="C24" s="27" t="n">
        <x:v>0</x:v>
      </x:c>
      <x:c r="D24" s="2" t="str">
        <x:v>stable</x:v>
      </x:c>
    </x:row>
    <x:row r="25">
      <x:c r="A25" s="86"/>
      <x:c r="B25" s="86"/>
      <x:c r="C25" s="594"/>
      <x:c r="D25" s="86"/>
    </x:row>
    <x:row r="26">
      <x:c r="A26" s="86"/>
      <x:c r="B26" s="86"/>
      <x:c r="C26" s="594"/>
      <x:c r="D26" s="86"/>
    </x:row>
    <x:row r="27">
      <x:c r="A27" s="86"/>
      <x:c r="B27" s="86"/>
      <x:c r="C27" s="594"/>
      <x:c r="D27" s="86"/>
    </x:row>
    <x:row r="28">
      <x:c r="A28" s="86"/>
      <x:c r="B28" s="86"/>
      <x:c r="C28" s="594"/>
      <x:c r="D28" s="86"/>
    </x:row>
    <x:row r="29">
      <x:c r="A29" s="86"/>
      <x:c r="B29" s="86"/>
      <x:c r="C29" s="594"/>
      <x:c r="D29" s="86"/>
    </x:row>
    <x:row r="30">
      <x:c r="A30" s="86"/>
      <x:c r="B30" s="86"/>
      <x:c r="C30" s="594"/>
      <x:c r="D30" s="86"/>
    </x:row>
    <x:row r="31">
      <x:c r="A31" s="86"/>
      <x:c r="B31" s="86"/>
      <x:c r="C31" s="594"/>
      <x:c r="D31" s="86"/>
    </x:row>
    <x:row r="32">
      <x:c r="A32" s="86"/>
      <x:c r="B32" s="86"/>
      <x:c r="C32" s="594"/>
      <x:c r="D32" s="86"/>
    </x:row>
    <x:row r="33">
      <x:c r="A33" s="86"/>
      <x:c r="B33" s="86"/>
      <x:c r="C33" s="594"/>
      <x:c r="D33" s="86"/>
    </x:row>
    <x:row r="34">
      <x:c r="A34" s="86"/>
      <x:c r="B34" s="86"/>
      <x:c r="C34" s="594"/>
      <x:c r="D34" s="86"/>
    </x:row>
    <x:row r="35">
      <x:c r="A35" s="86"/>
      <x:c r="B35" s="86"/>
      <x:c r="C35" s="594"/>
      <x:c r="D35" s="86"/>
    </x:row>
    <x:row r="36">
      <x:c r="A36" s="86"/>
      <x:c r="B36" s="86"/>
      <x:c r="C36" s="594"/>
      <x:c r="D36" s="86"/>
    </x:row>
    <x:row r="37">
      <x:c r="A37" s="86"/>
      <x:c r="B37" s="86"/>
      <x:c r="C37" s="594"/>
      <x:c r="D37" s="86"/>
    </x:row>
    <x:row r="38">
      <x:c r="A38" s="86"/>
      <x:c r="B38" s="86"/>
      <x:c r="C38" s="594"/>
      <x:c r="D38" s="86"/>
    </x:row>
    <x:row r="39">
      <x:c r="A39" s="86"/>
      <x:c r="B39" s="86"/>
      <x:c r="C39" s="594"/>
      <x:c r="D39" s="86"/>
    </x:row>
    <x:row r="40">
      <x:c r="A40" s="86"/>
      <x:c r="B40" s="86"/>
      <x:c r="C40" s="594"/>
      <x:c r="D40" s="86"/>
    </x:row>
  </x:sheetData>
  <x:pageMargins left="0.7" right="0.7" top="0.75" bottom="0.75" header="0.3" footer="0.3"/>
  <x:tableParts count="1">
    <x:tablePart xmlns:r="http://schemas.openxmlformats.org/officeDocument/2006/relationships" r:id="R973e73f901434c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20" hidden="0" customWidth="1"/>
  </x:cols>
  <x:sheetData>
    <x:row r="1" ht="15" hidden="0" customHeight="1">
      <x:c r="A1" s="11" t="str">
        <x:v>base_feature</x:v>
      </x:c>
      <x:c r="B1" s="12" t="str">
        <x:v>reason_code</x:v>
      </x:c>
      <x:c r="C1" s="13" t="str">
        <x:v>mean_absolute_shap</x:v>
      </x:c>
    </x:row>
    <x:row r="2" ht="15" hidden="0" customHeight="1">
      <x:c r="A2" s="2" t="str">
        <x:v>tool_wear_pct</x:v>
      </x:c>
      <x:c r="B2" s="2" t="str">
        <x:v>TOOL_WEAR_ELEVATED</x:v>
      </x:c>
      <x:c r="C2" s="27" t="n">
        <x:v>0.049344353781791604</x:v>
      </x:c>
    </x:row>
    <x:row r="3" ht="15" hidden="0" customHeight="1">
      <x:c r="A3" s="2" t="str">
        <x:v>lubrication_index</x:v>
      </x:c>
      <x:c r="B3" s="2" t="str">
        <x:v>LOW_LUBRICATION_INDEX</x:v>
      </x:c>
      <x:c r="C3" s="27" t="n">
        <x:v>0.038840114687937695</x:v>
      </x:c>
    </x:row>
    <x:row r="4" ht="15" hidden="0" customHeight="1">
      <x:c r="A4" s="2" t="str">
        <x:v>hours_since_maintenance</x:v>
      </x:c>
      <x:c r="B4" s="2" t="str">
        <x:v>MAINTENANCE_INTERVAL_EXCEEDED</x:v>
      </x:c>
      <x:c r="C4" s="27" t="n">
        <x:v>0.03654667579944734</x:v>
      </x:c>
    </x:row>
    <x:row r="5" ht="15" hidden="0" customHeight="1">
      <x:c r="A5" s="2" t="str">
        <x:v>temperature_c</x:v>
      </x:c>
      <x:c r="B5" s="2" t="str">
        <x:v>THERMAL_STRESS</x:v>
      </x:c>
      <x:c r="C5" s="27" t="n">
        <x:v>0.030743024754742814</x:v>
      </x:c>
    </x:row>
    <x:row r="6" ht="15" hidden="0" customHeight="1">
      <x:c r="A6" s="2" t="str">
        <x:v>vibration_rolling_3</x:v>
      </x:c>
      <x:c r="B6" s="2" t="str">
        <x:v>SUSTAINED_VIBRATION</x:v>
      </x:c>
      <x:c r="C6" s="27" t="n">
        <x:v>0.023821354875954152</x:v>
      </x:c>
    </x:row>
    <x:row r="7" ht="15" hidden="0" customHeight="1">
      <x:c r="A7" s="2" t="str">
        <x:v>pressure_bar</x:v>
      </x:c>
      <x:c r="B7" s="2" t="str">
        <x:v>PRESSURE_DEVIATION</x:v>
      </x:c>
      <x:c r="C7" s="27" t="n">
        <x:v>0.020951853400612955</x:v>
      </x:c>
    </x:row>
    <x:row r="8" ht="15" hidden="0" customHeight="1">
      <x:c r="A8" s="2" t="str">
        <x:v>vibration_rms</x:v>
      </x:c>
      <x:c r="B8" s="2" t="str">
        <x:v>HIGH_VIBRATION_PATTERN</x:v>
      </x:c>
      <x:c r="C8" s="27" t="n">
        <x:v>0.019802522591177964</x:v>
      </x:c>
    </x:row>
    <x:row r="9" ht="15" hidden="0" customHeight="1">
      <x:c r="A9" s="2" t="str">
        <x:v>downtime_last_7d_min</x:v>
      </x:c>
      <x:c r="B9" s="2" t="str">
        <x:v>RECENT_DOWNTIME_BURDEN</x:v>
      </x:c>
      <x:c r="C9" s="27" t="n">
        <x:v>0.016439816521723678</x:v>
      </x:c>
    </x:row>
    <x:row r="10" ht="15" hidden="0" customHeight="1">
      <x:c r="A10" s="2" t="str">
        <x:v>machine_id</x:v>
      </x:c>
      <x:c r="B10" s="2" t="str">
        <x:v>MACHINE_BASELINE_EFFECT</x:v>
      </x:c>
      <x:c r="C10" s="27" t="n">
        <x:v>0.009683560726933587</x:v>
      </x:c>
    </x:row>
    <x:row r="11" ht="15" hidden="0" customHeight="1">
      <x:c r="A11" s="2" t="str">
        <x:v>defect_rate_lag_1</x:v>
      </x:c>
      <x:c r="B11" s="2" t="str">
        <x:v>MODEL_DRIVER_DEFECT_RATE_LAG_1</x:v>
      </x:c>
      <x:c r="C11" s="27" t="n">
        <x:v>0.009294380631756596</x:v>
      </x:c>
    </x:row>
    <x:row r="12" ht="15" hidden="0" customHeight="1">
      <x:c r="A12" s="2" t="str">
        <x:v>current_amp</x:v>
      </x:c>
      <x:c r="B12" s="2" t="str">
        <x:v>ELECTRICAL_LOAD_STRESS</x:v>
      </x:c>
      <x:c r="C12" s="27" t="n">
        <x:v>0.007875700833851928</x:v>
      </x:c>
    </x:row>
    <x:row r="13" ht="15" hidden="0" customHeight="1">
      <x:c r="A13" s="2" t="str">
        <x:v>ambient_temperature_c</x:v>
      </x:c>
      <x:c r="B13" s="2" t="str">
        <x:v>MODEL_DRIVER_AMBIENT_TEMPERATURE_C</x:v>
      </x:c>
      <x:c r="C13" s="27" t="n">
        <x:v>0.0074366133905259596</x:v>
      </x:c>
    </x:row>
    <x:row r="14" ht="15" hidden="0" customHeight="1">
      <x:c r="A14" s="2" t="str">
        <x:v>product_id</x:v>
      </x:c>
      <x:c r="B14" s="2" t="str">
        <x:v>PRODUCT_MIX_EFFECT</x:v>
      </x:c>
      <x:c r="C14" s="27" t="n">
        <x:v>0.007412184768418803</x:v>
      </x:c>
    </x:row>
    <x:row r="15" ht="15" hidden="0" customHeight="1">
      <x:c r="A15" s="2" t="str">
        <x:v>cumulative_operating_hours</x:v>
      </x:c>
      <x:c r="B15" s="2" t="str">
        <x:v>MODEL_DRIVER_CUMULATIVE_OPERATING_HOURS</x:v>
      </x:c>
      <x:c r="C15" s="27" t="n">
        <x:v>0.006829804678726783</x:v>
      </x:c>
    </x:row>
    <x:row r="16" ht="15" hidden="0" customHeight="1">
      <x:c r="A16" s="2" t="str">
        <x:v>failures_last_30d</x:v>
      </x:c>
      <x:c r="B16" s="2" t="str">
        <x:v>RECENT_FAILURE_HISTORY</x:v>
      </x:c>
      <x:c r="C16" s="27" t="n">
        <x:v>0.006552755053318372</x:v>
      </x:c>
    </x:row>
    <x:row r="17" ht="15" hidden="0" customHeight="1">
      <x:c r="A17" s="2" t="str">
        <x:v>ambient_humidity_pct</x:v>
      </x:c>
      <x:c r="B17" s="2" t="str">
        <x:v>MODEL_DRIVER_AMBIENT_HUMIDITY_PCT</x:v>
      </x:c>
      <x:c r="C17" s="27" t="n">
        <x:v>0.004968355905712735</x:v>
      </x:c>
    </x:row>
    <x:row r="18" ht="15" hidden="0" customHeight="1">
      <x:c r="A18" s="2" t="str">
        <x:v>machine_type</x:v>
      </x:c>
      <x:c r="B18" s="2" t="str">
        <x:v>MACHINE_TYPE_EFFECT</x:v>
      </x:c>
      <x:c r="C18" s="27" t="n">
        <x:v>0.004462319674025189</x:v>
      </x:c>
    </x:row>
    <x:row r="19" ht="15" hidden="0" customHeight="1">
      <x:c r="A19" s="2" t="str">
        <x:v>criticality</x:v>
      </x:c>
      <x:c r="B19" s="2" t="str">
        <x:v>ASSET_CRITICALITY</x:v>
      </x:c>
      <x:c r="C19" s="27" t="n">
        <x:v>0.003405399369764715</x:v>
      </x:c>
    </x:row>
    <x:row r="20" ht="15" hidden="0" customHeight="1">
      <x:c r="A20" s="2" t="str">
        <x:v>line_id</x:v>
      </x:c>
      <x:c r="B20" s="2" t="str">
        <x:v>MODEL_DRIVER_LINE_ID</x:v>
      </x:c>
      <x:c r="C20" s="27" t="n">
        <x:v>0.003316562145014844</x:v>
      </x:c>
    </x:row>
    <x:row r="21" ht="15" hidden="0" customHeight="1">
      <x:c r="A21" s="2" t="str">
        <x:v>machine_age_years</x:v>
      </x:c>
      <x:c r="B21" s="2" t="str">
        <x:v>MODEL_DRIVER_MACHINE_AGE_YEARS</x:v>
      </x:c>
      <x:c r="C21" s="27" t="n">
        <x:v>0.002479842895298659</x:v>
      </x:c>
    </x:row>
    <x:row r="22" ht="15" hidden="0" customHeight="1">
      <x:c r="A22" s="2" t="str">
        <x:v>shift</x:v>
      </x:c>
      <x:c r="B22" s="2" t="str">
        <x:v>SHIFT_PATTERN</x:v>
      </x:c>
      <x:c r="C22" s="27" t="n">
        <x:v>0.0023193315491274705</x:v>
      </x:c>
    </x:row>
    <x:row r="23" ht="15" hidden="0" customHeight="1">
      <x:c r="A23" s="2" t="str">
        <x:v>planned_downtime_min</x:v>
      </x:c>
      <x:c r="B23" s="2" t="str">
        <x:v>MODEL_DRIVER_PLANNED_DOWNTIME_MIN</x:v>
      </x:c>
      <x:c r="C23" s="27" t="n">
        <x:v>0.0006416853892629178</x:v>
      </x:c>
    </x:row>
    <x:row r="24" ht="15" hidden="0" customHeight="1">
      <x:c r="A24" s="2" t="str">
        <x:v>changeover_count</x:v>
      </x:c>
      <x:c r="B24" s="2" t="str">
        <x:v>MODEL_DRIVER_CHANGEOVER_COUNT</x:v>
      </x:c>
      <x:c r="C24" s="27" t="n">
        <x:v>0.000597539915270977</x:v>
      </x:c>
    </x:row>
    <x:row r="25">
      <x:c r="A25" s="86"/>
      <x:c r="B25" s="86"/>
      <x:c r="C25" s="594"/>
    </x:row>
    <x:row r="26">
      <x:c r="A26" s="86"/>
      <x:c r="B26" s="86"/>
      <x:c r="C26" s="594"/>
    </x:row>
    <x:row r="27">
      <x:c r="A27" s="86"/>
      <x:c r="B27" s="86"/>
      <x:c r="C27" s="594"/>
    </x:row>
    <x:row r="28">
      <x:c r="A28" s="86"/>
      <x:c r="B28" s="86"/>
      <x:c r="C28" s="594"/>
    </x:row>
    <x:row r="29">
      <x:c r="A29" s="86"/>
      <x:c r="B29" s="86"/>
      <x:c r="C29" s="594"/>
    </x:row>
    <x:row r="30">
      <x:c r="A30" s="86"/>
      <x:c r="B30" s="86"/>
      <x:c r="C30" s="594"/>
    </x:row>
    <x:row r="31">
      <x:c r="A31" s="86"/>
      <x:c r="B31" s="86"/>
      <x:c r="C31" s="594"/>
    </x:row>
    <x:row r="32">
      <x:c r="A32" s="86"/>
      <x:c r="B32" s="86"/>
      <x:c r="C32" s="594"/>
    </x:row>
    <x:row r="33">
      <x:c r="A33" s="86"/>
      <x:c r="B33" s="86"/>
      <x:c r="C33" s="594"/>
    </x:row>
    <x:row r="34">
      <x:c r="A34" s="86"/>
      <x:c r="B34" s="86"/>
      <x:c r="C34" s="594"/>
    </x:row>
    <x:row r="35">
      <x:c r="A35" s="86"/>
      <x:c r="B35" s="86"/>
      <x:c r="C35" s="594"/>
    </x:row>
    <x:row r="36">
      <x:c r="A36" s="86"/>
      <x:c r="B36" s="86"/>
      <x:c r="C36" s="594"/>
    </x:row>
    <x:row r="37">
      <x:c r="A37" s="86"/>
      <x:c r="B37" s="86"/>
      <x:c r="C37" s="594"/>
    </x:row>
    <x:row r="38">
      <x:c r="A38" s="86"/>
      <x:c r="B38" s="86"/>
      <x:c r="C38" s="594"/>
    </x:row>
    <x:row r="39">
      <x:c r="A39" s="86"/>
      <x:c r="B39" s="86"/>
      <x:c r="C39" s="594"/>
    </x:row>
    <x:row r="40">
      <x:c r="A40" s="86"/>
      <x:c r="B40" s="86"/>
      <x:c r="C40" s="594"/>
    </x:row>
  </x:sheetData>
  <x:pageMargins left="0.7" right="0.7" top="0.75" bottom="0.75" header="0.3" footer="0.3"/>
  <x:tableParts count="1">
    <x:tablePart xmlns:r="http://schemas.openxmlformats.org/officeDocument/2006/relationships" r:id="Rd579d58e706849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32" customHeight="1">
      <x:c r="A1" s="80" t="str">
        <x:v>CONTROL TOWER ASSUMPTIONS
Blue cells are editable; every scenario output is formula-driven.</x:v>
      </x:c>
      <x:c r="B1" s="81" t="str">
        <x:v>CONTROL TOWER ASSUMPTIONS
Blue cells are editable; every scenario output is formula-driven.</x:v>
      </x:c>
      <x:c r="C1" s="81" t="str">
        <x:v>CONTROL TOWER ASSUMPTIONS
Blue cells are editable; every scenario output is formula-driven.</x:v>
      </x:c>
      <x:c r="D1" s="82" t="str">
        <x:v>CONTROL TOWER ASSUMPTIONS
Blue cells are editable; every scenario output is formula-driven.</x:v>
      </x:c>
    </x:row>
    <x:row r="2" ht="32" customHeight="1">
      <x:c r="A2" s="83" t="str">
        <x:v>CONTROL TOWER ASSUMPTIONS
Blue cells are editable; every scenario output is formula-driven.</x:v>
      </x:c>
      <x:c r="B2" s="84" t="str">
        <x:v>CONTROL TOWER ASSUMPTIONS
Blue cells are editable; every scenario output is formula-driven.</x:v>
      </x:c>
      <x:c r="C2" s="84" t="str">
        <x:v>CONTROL TOWER ASSUMPTIONS
Blue cells are editable; every scenario output is formula-driven.</x:v>
      </x:c>
      <x:c r="D2" s="85" t="str">
        <x:v>CONTROL TOWER ASSUMPTIONS
Blue cells are editable; every scenario output is formula-driven.</x:v>
      </x:c>
    </x:row>
    <x:row r="3">
      <x:c r="A3" s="86"/>
      <x:c r="B3" s="86"/>
      <x:c r="C3" s="86"/>
      <x:c r="D3" s="86"/>
    </x:row>
    <x:row r="4">
      <x:c r="A4" s="106" t="str">
        <x:v>Parameter</x:v>
      </x:c>
      <x:c r="B4" s="107" t="str">
        <x:v>Value</x:v>
      </x:c>
      <x:c r="C4" s="107" t="str">
        <x:v>Unit</x:v>
      </x:c>
      <x:c r="D4" s="108" t="str">
        <x:v>Purpose</x:v>
      </x:c>
    </x:row>
    <x:row r="5">
      <x:c r="A5" s="109" t="str">
        <x:v>Plant OEE target</x:v>
      </x:c>
      <x:c r="B5" s="110" t="n">
        <x:v>0.85</x:v>
      </x:c>
      <x:c r="C5" s="111" t="str">
        <x:v>%</x:v>
      </x:c>
      <x:c r="D5" s="112" t="str">
        <x:v>Executive performance target</x:v>
      </x:c>
    </x:row>
    <x:row r="6">
      <x:c r="A6" s="109" t="str">
        <x:v>Availability target</x:v>
      </x:c>
      <x:c r="B6" s="110" t="n">
        <x:v>0.9</x:v>
      </x:c>
      <x:c r="C6" s="111" t="str">
        <x:v>%</x:v>
      </x:c>
      <x:c r="D6" s="112" t="str">
        <x:v>Planned production reliability</x:v>
      </x:c>
    </x:row>
    <x:row r="7">
      <x:c r="A7" s="109" t="str">
        <x:v>Performance target</x:v>
      </x:c>
      <x:c r="B7" s="110" t="n">
        <x:v>0.95</x:v>
      </x:c>
      <x:c r="C7" s="111" t="str">
        <x:v>%</x:v>
      </x:c>
      <x:c r="D7" s="112" t="str">
        <x:v>Ideal cycle realization</x:v>
      </x:c>
    </x:row>
    <x:row r="8">
      <x:c r="A8" s="109" t="str">
        <x:v>Quality target</x:v>
      </x:c>
      <x:c r="B8" s="110" t="n">
        <x:v>0.99</x:v>
      </x:c>
      <x:c r="C8" s="111" t="str">
        <x:v>%</x:v>
      </x:c>
      <x:c r="D8" s="112" t="str">
        <x:v>First-pass conforming output</x:v>
      </x:c>
    </x:row>
    <x:row r="9">
      <x:c r="A9" s="109" t="str">
        <x:v>FPY target</x:v>
      </x:c>
      <x:c r="B9" s="110" t="n">
        <x:v>0.98</x:v>
      </x:c>
      <x:c r="C9" s="111" t="str">
        <x:v>%</x:v>
      </x:c>
      <x:c r="D9" s="112" t="str">
        <x:v>First-pass yield target</x:v>
      </x:c>
    </x:row>
    <x:row r="10">
      <x:c r="A10" s="109" t="str">
        <x:v>Minimum recall</x:v>
      </x:c>
      <x:c r="B10" s="110" t="n">
        <x:v>0.72</x:v>
      </x:c>
      <x:c r="C10" s="111" t="str">
        <x:v>%</x:v>
      </x:c>
      <x:c r="D10" s="112" t="str">
        <x:v>Validation threshold constraint</x:v>
      </x:c>
    </x:row>
    <x:row r="11">
      <x:c r="A11" s="109" t="str">
        <x:v>Maximum review rate</x:v>
      </x:c>
      <x:c r="B11" s="110" t="n">
        <x:v>0.4</x:v>
      </x:c>
      <x:c r="C11" s="111" t="str">
        <x:v>%</x:v>
      </x:c>
      <x:c r="D11" s="112" t="str">
        <x:v>Planner capacity constraint</x:v>
      </x:c>
    </x:row>
    <x:row r="12">
      <x:c r="A12" s="109" t="str">
        <x:v>Intervention effectiveness</x:v>
      </x:c>
      <x:c r="B12" s="110" t="n">
        <x:v>0.65</x:v>
      </x:c>
      <x:c r="C12" s="111" t="str">
        <x:v>%</x:v>
      </x:c>
      <x:c r="D12" s="112" t="str">
        <x:v>Avoided-loss assumption</x:v>
      </x:c>
    </x:row>
    <x:row r="13">
      <x:c r="A13" s="109" t="str">
        <x:v>False-negative cost</x:v>
      </x:c>
      <x:c r="B13" s="113" t="n">
        <x:v>8000</x:v>
      </x:c>
      <x:c r="C13" s="111" t="str">
        <x:v>cost units</x:v>
      </x:c>
      <x:c r="D13" s="112" t="str">
        <x:v>Validation threshold input</x:v>
      </x:c>
    </x:row>
    <x:row r="14">
      <x:c r="A14" s="109" t="str">
        <x:v>False-positive cost</x:v>
      </x:c>
      <x:c r="B14" s="113" t="n">
        <x:v>450</x:v>
      </x:c>
      <x:c r="C14" s="111" t="str">
        <x:v>cost units</x:v>
      </x:c>
      <x:c r="D14" s="112" t="str">
        <x:v>Validation threshold input</x:v>
      </x:c>
    </x:row>
    <x:row r="15">
      <x:c r="A15" s="114" t="str">
        <x:v>Model threshold</x:v>
      </x:c>
      <x:c r="B15" s="115" t="n">
        <x:v>0.1477606755877041</x:v>
      </x:c>
      <x:c r="C15" s="116" t="str">
        <x:v>probability</x:v>
      </x:c>
      <x:c r="D15" s="117" t="str">
        <x:v>Selected on validation only</x:v>
      </x:c>
    </x:row>
    <x:row r="16">
      <x:c r="A16" s="118"/>
      <x:c r="B16" s="118"/>
      <x:c r="C16" s="118"/>
      <x:c r="D16" s="118"/>
    </x:row>
    <x:row r="17">
      <x:c r="A17" s="118"/>
      <x:c r="B17" s="118"/>
      <x:c r="C17" s="118"/>
      <x:c r="D17" s="118"/>
    </x:row>
    <x:row r="18">
      <x:c r="A18" s="119" t="str">
        <x:v>Reference</x:v>
      </x:c>
      <x:c r="B18" s="119" t="str">
        <x:v>URL</x:v>
      </x:c>
      <x:c r="C18" s="119" t="str">
        <x:v>Usage</x:v>
      </x:c>
      <x:c r="D18" s="119" t="str">
        <x:v>Claim boundary</x:v>
      </x:c>
    </x:row>
    <x:row r="19">
      <x:c r="A19" s="118" t="str">
        <x:v>ISO 22400-2</x:v>
      </x:c>
      <x:c r="B19" s="118" t="str">
        <x:v>https://www.iso.org/standard/54497.html</x:v>
      </x:c>
      <x:c r="C19" s="118" t="str">
        <x:v>Manufacturing KPI definitions</x:v>
      </x:c>
      <x:c r="D19" s="118" t="str">
        <x:v>Design reference only</x:v>
      </x:c>
    </x:row>
    <x:row r="20">
      <x:c r="A20" s="118" t="str">
        <x:v>NIST SPC</x:v>
      </x:c>
      <x:c r="B20" s="118" t="str">
        <x:v>https://www.itl.nist.gov/div898/handbook/pmc/section3/pmc3.htm</x:v>
      </x:c>
      <x:c r="C20" s="118" t="str">
        <x:v>Control-chart taxonomy</x:v>
      </x:c>
      <x:c r="D20" s="118" t="str">
        <x:v>No process acceptance claim</x:v>
      </x:c>
    </x:row>
    <x:row r="21">
      <x:c r="A21" s="118" t="str">
        <x:v>NIST Capability</x:v>
      </x:c>
      <x:c r="B21" s="118" t="str">
        <x:v>https://www.itl.nist.gov/div898/handbook/pmc/section1/pmc16.htm</x:v>
      </x:c>
      <x:c r="C21" s="118" t="str">
        <x:v>Control/specification distinction</x:v>
      </x:c>
      <x:c r="D21" s="118" t="str">
        <x:v>Synthetic snapshot</x:v>
      </x:c>
    </x:row>
    <x:row r="22">
      <x:c r="A22" s="118" t="str">
        <x:v>NIST AI RMF</x:v>
      </x:c>
      <x:c r="B22" s="118" t="str">
        <x:v>https://www.nist.gov/itl/ai-risk-management-framework</x:v>
      </x:c>
      <x:c r="C22" s="118" t="str">
        <x:v>Model governance</x:v>
      </x:c>
      <x:c r="D22" s="118" t="str">
        <x:v>No compliance claim</x:v>
      </x:c>
    </x:row>
    <x:row r="23">
      <x:c r="A23" s="118" t="str">
        <x:v>NIST SSDF</x:v>
      </x:c>
      <x:c r="B23" s="118" t="str">
        <x:v>https://csrc.nist.gov/pubs/sp/800/218/final</x:v>
      </x:c>
      <x:c r="C23" s="118" t="str">
        <x:v>Secure development</x:v>
      </x:c>
      <x:c r="D23" s="118" t="str">
        <x:v>No audit claim</x:v>
      </x:c>
    </x:row>
    <x:row r="24">
      <x:c r="A24" s="118" t="str">
        <x:v>Project data</x:v>
      </x:c>
      <x:c r="B24" s="118" t="str">
        <x:v>Fully synthetic</x:v>
      </x:c>
      <x:c r="C24" s="118" t="str">
        <x:v>Seed 20260729</x:v>
      </x:c>
      <x:c r="D24" s="118" t="str">
        <x:v>No real plant data</x:v>
      </x:c>
    </x:row>
  </x:sheetData>
  <x:mergeCells>
    <x:mergeCell ref="A1:D2"/>
  </x:mergeCells>
  <x:pageMargins left="0.7" right="0.7" top="0.75" bottom="0.75" header="0.3" footer="0.3"/>
  <x:legacyDrawing xmlns:r="http://schemas.openxmlformats.org/officeDocument/2006/relationships" r:id="Rfbecd50cfd214a4d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</x:cols>
  <x:sheetData>
    <x:row r="1" ht="32" customHeight="1">
      <x:c r="A1" s="80" t="str">
        <x:v>MANUFACTURING CONTROL TOWER
OEE • QUALITY • RELIABILITY • PREDICTIVE MAINTENANCE | Deterministic synthetic data</x:v>
      </x:c>
      <x:c r="B1" s="81" t="str">
        <x:v>MANUFACTURING CONTROL TOWER
OEE • QUALITY • RELIABILITY • PREDICTIVE MAINTENANCE | Deterministic synthetic data</x:v>
      </x:c>
      <x:c r="C1" s="81" t="str">
        <x:v>MANUFACTURING CONTROL TOWER
OEE • QUALITY • RELIABILITY • PREDICTIVE MAINTENANCE | Deterministic synthetic data</x:v>
      </x:c>
      <x:c r="D1" s="81" t="str">
        <x:v>MANUFACTURING CONTROL TOWER
OEE • QUALITY • RELIABILITY • PREDICTIVE MAINTENANCE | Deterministic synthetic data</x:v>
      </x:c>
      <x:c r="E1" s="81" t="str">
        <x:v>MANUFACTURING CONTROL TOWER
OEE • QUALITY • RELIABILITY • PREDICTIVE MAINTENANCE | Deterministic synthetic data</x:v>
      </x:c>
      <x:c r="F1" s="81" t="str">
        <x:v>MANUFACTURING CONTROL TOWER
OEE • QUALITY • RELIABILITY • PREDICTIVE MAINTENANCE | Deterministic synthetic data</x:v>
      </x:c>
      <x:c r="G1" s="81" t="str">
        <x:v>MANUFACTURING CONTROL TOWER
OEE • QUALITY • RELIABILITY • PREDICTIVE MAINTENANCE | Deterministic synthetic data</x:v>
      </x:c>
      <x:c r="H1" s="81" t="str">
        <x:v>MANUFACTURING CONTROL TOWER
OEE • QUALITY • RELIABILITY • PREDICTIVE MAINTENANCE | Deterministic synthetic data</x:v>
      </x:c>
      <x:c r="I1" s="81" t="str">
        <x:v>MANUFACTURING CONTROL TOWER
OEE • QUALITY • RELIABILITY • PREDICTIVE MAINTENANCE | Deterministic synthetic data</x:v>
      </x:c>
      <x:c r="J1" s="81" t="str">
        <x:v>MANUFACTURING CONTROL TOWER
OEE • QUALITY • RELIABILITY • PREDICTIVE MAINTENANCE | Deterministic synthetic data</x:v>
      </x:c>
      <x:c r="K1" s="81" t="str">
        <x:v>MANUFACTURING CONTROL TOWER
OEE • QUALITY • RELIABILITY • PREDICTIVE MAINTENANCE | Deterministic synthetic data</x:v>
      </x:c>
      <x:c r="L1" s="81" t="str">
        <x:v>MANUFACTURING CONTROL TOWER
OEE • QUALITY • RELIABILITY • PREDICTIVE MAINTENANCE | Deterministic synthetic data</x:v>
      </x:c>
      <x:c r="M1" s="81" t="str">
        <x:v>MANUFACTURING CONTROL TOWER
OEE • QUALITY • RELIABILITY • PREDICTIVE MAINTENANCE | Deterministic synthetic data</x:v>
      </x:c>
      <x:c r="N1" s="82" t="str">
        <x:v>MANUFACTURING CONTROL TOWER
OEE • QUALITY • RELIABILITY • PREDICTIVE MAINTENANCE | Deterministic synthetic data</x:v>
      </x:c>
      <x:c r="O1" s="86"/>
      <x:c r="P1" s="86" t="str">
        <x:v>Month</x:v>
      </x:c>
      <x:c r="Q1" s="86" t="str">
        <x:v>LINE-A</x:v>
      </x:c>
      <x:c r="R1" s="86" t="str">
        <x:v>LINE-B</x:v>
      </x:c>
      <x:c r="S1" s="86" t="str">
        <x:v>LINE-C</x:v>
      </x:c>
      <x:c r="T1" s="86" t="str">
        <x:v>LINE-D</x:v>
      </x:c>
    </x:row>
    <x:row r="2" ht="32" customHeight="1">
      <x:c r="A2" s="83" t="str">
        <x:v>MANUFACTURING CONTROL TOWER
OEE • QUALITY • RELIABILITY • PREDICTIVE MAINTENANCE | Deterministic synthetic data</x:v>
      </x:c>
      <x:c r="B2" s="84" t="str">
        <x:v>MANUFACTURING CONTROL TOWER
OEE • QUALITY • RELIABILITY • PREDICTIVE MAINTENANCE | Deterministic synthetic data</x:v>
      </x:c>
      <x:c r="C2" s="84" t="str">
        <x:v>MANUFACTURING CONTROL TOWER
OEE • QUALITY • RELIABILITY • PREDICTIVE MAINTENANCE | Deterministic synthetic data</x:v>
      </x:c>
      <x:c r="D2" s="84" t="str">
        <x:v>MANUFACTURING CONTROL TOWER
OEE • QUALITY • RELIABILITY • PREDICTIVE MAINTENANCE | Deterministic synthetic data</x:v>
      </x:c>
      <x:c r="E2" s="84" t="str">
        <x:v>MANUFACTURING CONTROL TOWER
OEE • QUALITY • RELIABILITY • PREDICTIVE MAINTENANCE | Deterministic synthetic data</x:v>
      </x:c>
      <x:c r="F2" s="84" t="str">
        <x:v>MANUFACTURING CONTROL TOWER
OEE • QUALITY • RELIABILITY • PREDICTIVE MAINTENANCE | Deterministic synthetic data</x:v>
      </x:c>
      <x:c r="G2" s="84" t="str">
        <x:v>MANUFACTURING CONTROL TOWER
OEE • QUALITY • RELIABILITY • PREDICTIVE MAINTENANCE | Deterministic synthetic data</x:v>
      </x:c>
      <x:c r="H2" s="84" t="str">
        <x:v>MANUFACTURING CONTROL TOWER
OEE • QUALITY • RELIABILITY • PREDICTIVE MAINTENANCE | Deterministic synthetic data</x:v>
      </x:c>
      <x:c r="I2" s="84" t="str">
        <x:v>MANUFACTURING CONTROL TOWER
OEE • QUALITY • RELIABILITY • PREDICTIVE MAINTENANCE | Deterministic synthetic data</x:v>
      </x:c>
      <x:c r="J2" s="84" t="str">
        <x:v>MANUFACTURING CONTROL TOWER
OEE • QUALITY • RELIABILITY • PREDICTIVE MAINTENANCE | Deterministic synthetic data</x:v>
      </x:c>
      <x:c r="K2" s="84" t="str">
        <x:v>MANUFACTURING CONTROL TOWER
OEE • QUALITY • RELIABILITY • PREDICTIVE MAINTENANCE | Deterministic synthetic data</x:v>
      </x:c>
      <x:c r="L2" s="84" t="str">
        <x:v>MANUFACTURING CONTROL TOWER
OEE • QUALITY • RELIABILITY • PREDICTIVE MAINTENANCE | Deterministic synthetic data</x:v>
      </x:c>
      <x:c r="M2" s="84" t="str">
        <x:v>MANUFACTURING CONTROL TOWER
OEE • QUALITY • RELIABILITY • PREDICTIVE MAINTENANCE | Deterministic synthetic data</x:v>
      </x:c>
      <x:c r="N2" s="85" t="str">
        <x:v>MANUFACTURING CONTROL TOWER
OEE • QUALITY • RELIABILITY • PREDICTIVE MAINTENANCE | Deterministic synthetic data</x:v>
      </x:c>
      <x:c r="O2" s="86"/>
      <x:c r="P2" s="86" t="str">
        <x:v>2024-01-01</x:v>
      </x:c>
      <x:c r="Q2" s="86" t="n">
        <x:f>SUMIFS('OEE Data'!$N$2:$N$73,'OEE Data'!$A$2:$A$73,$P2,'OEE Data'!$B$2:$B$73,Q$1)</x:f>
        <x:v>0.8600731763005796</x:v>
      </x:c>
      <x:c r="R2" s="86" t="n">
        <x:f>SUMIFS('OEE Data'!$N$2:$N$73,'OEE Data'!$A$2:$A$73,$P2,'OEE Data'!$B$2:$B$73,R$1)</x:f>
        <x:v>0.8585013893658533</x:v>
      </x:c>
      <x:c r="S2" s="86" t="n">
        <x:f>SUMIFS('OEE Data'!$N$2:$N$73,'OEE Data'!$A$2:$A$73,$P2,'OEE Data'!$B$2:$B$73,S$1)</x:f>
        <x:v>0.8700872987208919</x:v>
      </x:c>
      <x:c r="T2" s="86" t="n">
        <x:f>SUMIFS('OEE Data'!$N$2:$N$73,'OEE Data'!$A$2:$A$73,$P2,'OEE Data'!$B$2:$B$73,T$1)</x:f>
        <x:v>0.8605679042298673</x:v>
      </x:c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 t="str">
        <x:v>2024-02-01</x:v>
      </x:c>
      <x:c r="Q3" s="86" t="n">
        <x:f>SUMIFS('OEE Data'!$N$2:$N$73,'OEE Data'!$A$2:$A$73,$P3,'OEE Data'!$B$2:$B$73,Q$1)</x:f>
        <x:v>0.8544910722037105</x:v>
      </x:c>
      <x:c r="R3" s="86" t="n">
        <x:f>SUMIFS('OEE Data'!$N$2:$N$73,'OEE Data'!$A$2:$A$73,$P3,'OEE Data'!$B$2:$B$73,R$1)</x:f>
        <x:v>0.8510302078032198</x:v>
      </x:c>
      <x:c r="S3" s="86" t="n">
        <x:f>SUMIFS('OEE Data'!$N$2:$N$73,'OEE Data'!$A$2:$A$73,$P3,'OEE Data'!$B$2:$B$73,S$1)</x:f>
        <x:v>0.8578665446213414</x:v>
      </x:c>
      <x:c r="T3" s="86" t="n">
        <x:f>SUMIFS('OEE Data'!$N$2:$N$73,'OEE Data'!$A$2:$A$73,$P3,'OEE Data'!$B$2:$B$73,T$1)</x:f>
        <x:v>0.8491838190087341</x:v>
      </x:c>
    </x:row>
    <x:row r="4">
      <x:c r="A4" s="401" t="str">
        <x:v>PLANT OEE</x:v>
      </x:c>
      <x:c r="B4" s="401" t="str">
        <x:v>PLANT OEE</x:v>
      </x:c>
      <x:c r="C4" s="401" t="str">
        <x:v>PLANT OEE</x:v>
      </x:c>
      <x:c r="D4" s="402" t="str">
        <x:v>AVAILABILITY</x:v>
      </x:c>
      <x:c r="E4" s="402" t="str">
        <x:v>AVAILABILITY</x:v>
      </x:c>
      <x:c r="F4" s="402" t="str">
        <x:v>AVAILABILITY</x:v>
      </x:c>
      <x:c r="G4" s="403" t="str">
        <x:v>PERFORMANCE</x:v>
      </x:c>
      <x:c r="H4" s="403" t="str">
        <x:v>PERFORMANCE</x:v>
      </x:c>
      <x:c r="I4" s="403" t="str">
        <x:v>PERFORMANCE</x:v>
      </x:c>
      <x:c r="J4" s="404" t="str">
        <x:v>QUALITY / FPY</x:v>
      </x:c>
      <x:c r="K4" s="404" t="str">
        <x:v>QUALITY / FPY</x:v>
      </x:c>
      <x:c r="L4" s="404" t="str">
        <x:v>QUALITY / FPY</x:v>
      </x:c>
      <x:c r="M4" s="405" t="str">
        <x:v>MODEL CONTROL
Champion: random_forest
OOT PR-AUC: 0.3887
OOT Recall: 73.51%
OOT Alert Rate: 43.11%
RECOMMENDATION ONLY
Human approval required</x:v>
      </x:c>
      <x:c r="N4" s="406" t="str">
        <x:v>MODEL CONTROL
Champion: random_forest
OOT PR-AUC: 0.3887
OOT Recall: 73.51%
OOT Alert Rate: 43.11%
RECOMMENDATION ONLY
Human approval required</x:v>
      </x:c>
      <x:c r="O4" s="86"/>
      <x:c r="P4" s="86" t="str">
        <x:v>2024-03-01</x:v>
      </x:c>
      <x:c r="Q4" s="86" t="n">
        <x:f>SUMIFS('OEE Data'!$N$2:$N$73,'OEE Data'!$A$2:$A$73,$P4,'OEE Data'!$B$2:$B$73,Q$1)</x:f>
        <x:v>0.8436632373522928</x:v>
      </x:c>
      <x:c r="R4" s="86" t="n">
        <x:f>SUMIFS('OEE Data'!$N$2:$N$73,'OEE Data'!$A$2:$A$73,$P4,'OEE Data'!$B$2:$B$73,R$1)</x:f>
        <x:v>0.8565334897887703</x:v>
      </x:c>
      <x:c r="S4" s="86" t="n">
        <x:f>SUMIFS('OEE Data'!$N$2:$N$73,'OEE Data'!$A$2:$A$73,$P4,'OEE Data'!$B$2:$B$73,S$1)</x:f>
        <x:v>0.8476960895198262</x:v>
      </x:c>
      <x:c r="T4" s="86" t="n">
        <x:f>SUMIFS('OEE Data'!$N$2:$N$73,'OEE Data'!$A$2:$A$73,$P4,'OEE Data'!$B$2:$B$73,T$1)</x:f>
        <x:v>0.8393925171122399</x:v>
      </x:c>
    </x:row>
    <x:row r="5">
      <x:c r="A5" s="407" t="n">
        <x:f>D5*G5*J5</x:f>
        <x:v>0.8526647989314224</x:v>
      </x:c>
      <x:c r="B5" s="408"/>
      <x:c r="C5" s="409"/>
      <x:c r="D5" s="410" t="n">
        <x:f>SUM('OEE Data'!$D$2:$D$73)/SUM('OEE Data'!$C$2:$C$73)</x:f>
        <x:v>0.9836288432536279</x:v>
      </x:c>
      <x:c r="E5" s="411"/>
      <x:c r="F5" s="412"/>
      <x:c r="G5" s="413" t="n">
        <x:f>SUMPRODUCT('OEE Data'!$L$2:$L$73,'OEE Data'!$D$2:$D$73)/SUM('OEE Data'!$D$2:$D$73)</x:f>
        <x:v>0.9099304168662009</x:v>
      </x:c>
      <x:c r="H5" s="414"/>
      <x:c r="I5" s="415"/>
      <x:c r="J5" s="416" t="n">
        <x:f>SUM('OEE Data'!$F$2:$F$73)/SUM('OEE Data'!$E$2:$E$73)</x:f>
        <x:v>0.9526621181325136</x:v>
      </x:c>
      <x:c r="K5" s="417"/>
      <x:c r="L5" s="418"/>
      <x:c r="M5" s="419" t="str">
        <x:v>MODEL CONTROL
Champion: random_forest
OOT PR-AUC: 0.3887
OOT Recall: 73.51%
OOT Alert Rate: 43.11%
RECOMMENDATION ONLY
Human approval required</x:v>
      </x:c>
      <x:c r="N5" s="420" t="str">
        <x:v>MODEL CONTROL
Champion: random_forest
OOT PR-AUC: 0.3887
OOT Recall: 73.51%
OOT Alert Rate: 43.11%
RECOMMENDATION ONLY
Human approval required</x:v>
      </x:c>
      <x:c r="O5" s="86"/>
      <x:c r="P5" s="86" t="str">
        <x:v>2024-04-01</x:v>
      </x:c>
      <x:c r="Q5" s="86" t="n">
        <x:f>SUMIFS('OEE Data'!$N$2:$N$73,'OEE Data'!$A$2:$A$73,$P5,'OEE Data'!$B$2:$B$73,Q$1)</x:f>
        <x:v>0.8534347756031845</x:v>
      </x:c>
      <x:c r="R5" s="86" t="n">
        <x:f>SUMIFS('OEE Data'!$N$2:$N$73,'OEE Data'!$A$2:$A$73,$P5,'OEE Data'!$B$2:$B$73,R$1)</x:f>
        <x:v>0.8600002099082892</x:v>
      </x:c>
      <x:c r="S5" s="86" t="n">
        <x:f>SUMIFS('OEE Data'!$N$2:$N$73,'OEE Data'!$A$2:$A$73,$P5,'OEE Data'!$B$2:$B$73,S$1)</x:f>
        <x:v>0.86448409250534</x:v>
      </x:c>
      <x:c r="T5" s="86" t="n">
        <x:f>SUMIFS('OEE Data'!$N$2:$N$73,'OEE Data'!$A$2:$A$73,$P5,'OEE Data'!$B$2:$B$73,T$1)</x:f>
        <x:v>0.8602566516621654</x:v>
      </x:c>
    </x:row>
    <x:row r="6">
      <x:c r="A6" s="421"/>
      <x:c r="B6" s="422"/>
      <x:c r="C6" s="423"/>
      <x:c r="D6" s="424"/>
      <x:c r="E6" s="422"/>
      <x:c r="F6" s="425"/>
      <x:c r="G6" s="426"/>
      <x:c r="H6" s="422"/>
      <x:c r="I6" s="427"/>
      <x:c r="J6" s="428"/>
      <x:c r="K6" s="422"/>
      <x:c r="L6" s="429"/>
      <x:c r="M6" s="419" t="str">
        <x:v>MODEL CONTROL
Champion: random_forest
OOT PR-AUC: 0.3887
OOT Recall: 73.51%
OOT Alert Rate: 43.11%
RECOMMENDATION ONLY
Human approval required</x:v>
      </x:c>
      <x:c r="N6" s="420" t="str">
        <x:v>MODEL CONTROL
Champion: random_forest
OOT PR-AUC: 0.3887
OOT Recall: 73.51%
OOT Alert Rate: 43.11%
RECOMMENDATION ONLY
Human approval required</x:v>
      </x:c>
      <x:c r="O6" s="86"/>
      <x:c r="P6" s="86" t="str">
        <x:v>2024-05-01</x:v>
      </x:c>
      <x:c r="Q6" s="86" t="n">
        <x:f>SUMIFS('OEE Data'!$N$2:$N$73,'OEE Data'!$A$2:$A$73,$P6,'OEE Data'!$B$2:$B$73,Q$1)</x:f>
        <x:v>0.8411395693434331</x:v>
      </x:c>
      <x:c r="R6" s="86" t="n">
        <x:f>SUMIFS('OEE Data'!$N$2:$N$73,'OEE Data'!$A$2:$A$73,$P6,'OEE Data'!$B$2:$B$73,R$1)</x:f>
        <x:v>0.8528751835068042</x:v>
      </x:c>
      <x:c r="S6" s="86" t="n">
        <x:f>SUMIFS('OEE Data'!$N$2:$N$73,'OEE Data'!$A$2:$A$73,$P6,'OEE Data'!$B$2:$B$73,S$1)</x:f>
        <x:v>0.8422241473225482</x:v>
      </x:c>
      <x:c r="T6" s="86" t="n">
        <x:f>SUMIFS('OEE Data'!$N$2:$N$73,'OEE Data'!$A$2:$A$73,$P6,'OEE Data'!$B$2:$B$73,T$1)</x:f>
        <x:v>0.8511307667264166</x:v>
      </x:c>
    </x:row>
    <x:row r="7">
      <x:c r="A7" s="430"/>
      <x:c r="B7" s="431"/>
      <x:c r="C7" s="432"/>
      <x:c r="D7" s="433"/>
      <x:c r="E7" s="434"/>
      <x:c r="F7" s="435"/>
      <x:c r="G7" s="436"/>
      <x:c r="H7" s="437"/>
      <x:c r="I7" s="438"/>
      <x:c r="J7" s="439"/>
      <x:c r="K7" s="440"/>
      <x:c r="L7" s="441"/>
      <x:c r="M7" s="419" t="str">
        <x:v>MODEL CONTROL
Champion: random_forest
OOT PR-AUC: 0.3887
OOT Recall: 73.51%
OOT Alert Rate: 43.11%
RECOMMENDATION ONLY
Human approval required</x:v>
      </x:c>
      <x:c r="N7" s="420" t="str">
        <x:v>MODEL CONTROL
Champion: random_forest
OOT PR-AUC: 0.3887
OOT Recall: 73.51%
OOT Alert Rate: 43.11%
RECOMMENDATION ONLY
Human approval required</x:v>
      </x:c>
      <x:c r="O7" s="86"/>
      <x:c r="P7" s="86" t="str">
        <x:v>2024-06-01</x:v>
      </x:c>
      <x:c r="Q7" s="86" t="n">
        <x:f>SUMIFS('OEE Data'!$N$2:$N$73,'OEE Data'!$A$2:$A$73,$P7,'OEE Data'!$B$2:$B$73,Q$1)</x:f>
        <x:v>0.8509909741363008</x:v>
      </x:c>
      <x:c r="R7" s="86" t="n">
        <x:f>SUMIFS('OEE Data'!$N$2:$N$73,'OEE Data'!$A$2:$A$73,$P7,'OEE Data'!$B$2:$B$73,R$1)</x:f>
        <x:v>0.8512678661269663</x:v>
      </x:c>
      <x:c r="S7" s="86" t="n">
        <x:f>SUMIFS('OEE Data'!$N$2:$N$73,'OEE Data'!$A$2:$A$73,$P7,'OEE Data'!$B$2:$B$73,S$1)</x:f>
        <x:v>0.858499242473431</x:v>
      </x:c>
      <x:c r="T7" s="86" t="n">
        <x:f>SUMIFS('OEE Data'!$N$2:$N$73,'OEE Data'!$A$2:$A$73,$P7,'OEE Data'!$B$2:$B$73,T$1)</x:f>
        <x:v>0.8529165121399372</x:v>
      </x:c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419" t="str">
        <x:v>MODEL CONTROL
Champion: random_forest
OOT PR-AUC: 0.3887
OOT Recall: 73.51%
OOT Alert Rate: 43.11%
RECOMMENDATION ONLY
Human approval required</x:v>
      </x:c>
      <x:c r="N8" s="420" t="str">
        <x:v>MODEL CONTROL
Champion: random_forest
OOT PR-AUC: 0.3887
OOT Recall: 73.51%
OOT Alert Rate: 43.11%
RECOMMENDATION ONLY
Human approval required</x:v>
      </x:c>
      <x:c r="O8" s="86"/>
      <x:c r="P8" s="86" t="str">
        <x:v>2024-07-01</x:v>
      </x:c>
      <x:c r="Q8" s="86" t="n">
        <x:f>SUMIFS('OEE Data'!$N$2:$N$73,'OEE Data'!$A$2:$A$73,$P8,'OEE Data'!$B$2:$B$73,Q$1)</x:f>
        <x:v>0.8542379540946586</x:v>
      </x:c>
      <x:c r="R8" s="86" t="n">
        <x:f>SUMIFS('OEE Data'!$N$2:$N$73,'OEE Data'!$A$2:$A$73,$P8,'OEE Data'!$B$2:$B$73,R$1)</x:f>
        <x:v>0.8458825979019569</x:v>
      </x:c>
      <x:c r="S8" s="86" t="n">
        <x:f>SUMIFS('OEE Data'!$N$2:$N$73,'OEE Data'!$A$2:$A$73,$P8,'OEE Data'!$B$2:$B$73,S$1)</x:f>
        <x:v>0.8467898330337306</x:v>
      </x:c>
      <x:c r="T8" s="86" t="n">
        <x:f>SUMIFS('OEE Data'!$N$2:$N$73,'OEE Data'!$A$2:$A$73,$P8,'OEE Data'!$B$2:$B$73,T$1)</x:f>
        <x:v>0.8521164035886752</x:v>
      </x:c>
    </x:row>
    <x:row r="9">
      <x:c r="A9" s="442" t="str">
        <x:v>COPQ</x:v>
      </x:c>
      <x:c r="B9" s="442" t="str">
        <x:v>COPQ</x:v>
      </x:c>
      <x:c r="C9" s="442" t="str">
        <x:v>COPQ</x:v>
      </x:c>
      <x:c r="D9" s="402" t="str">
        <x:v>MTBF (HOURS)</x:v>
      </x:c>
      <x:c r="E9" s="402" t="str">
        <x:v>MTBF (HOURS)</x:v>
      </x:c>
      <x:c r="F9" s="402" t="str">
        <x:v>MTBF (HOURS)</x:v>
      </x:c>
      <x:c r="G9" s="401" t="str">
        <x:v>MTTR (HOURS)</x:v>
      </x:c>
      <x:c r="H9" s="401" t="str">
        <x:v>MTTR (HOURS)</x:v>
      </x:c>
      <x:c r="I9" s="401" t="str">
        <x:v>MTTR (HOURS)</x:v>
      </x:c>
      <x:c r="J9" s="403" t="str">
        <x:v>TOTAL UNITS</x:v>
      </x:c>
      <x:c r="K9" s="403" t="str">
        <x:v>TOTAL UNITS</x:v>
      </x:c>
      <x:c r="L9" s="403" t="str">
        <x:v>TOTAL UNITS</x:v>
      </x:c>
      <x:c r="M9" s="419" t="str">
        <x:v>MODEL CONTROL
Champion: random_forest
OOT PR-AUC: 0.3887
OOT Recall: 73.51%
OOT Alert Rate: 43.11%
RECOMMENDATION ONLY
Human approval required</x:v>
      </x:c>
      <x:c r="N9" s="420" t="str">
        <x:v>MODEL CONTROL
Champion: random_forest
OOT PR-AUC: 0.3887
OOT Recall: 73.51%
OOT Alert Rate: 43.11%
RECOMMENDATION ONLY
Human approval required</x:v>
      </x:c>
      <x:c r="O9" s="86"/>
      <x:c r="P9" s="86" t="str">
        <x:v>2024-08-01</x:v>
      </x:c>
      <x:c r="Q9" s="86" t="n">
        <x:f>SUMIFS('OEE Data'!$N$2:$N$73,'OEE Data'!$A$2:$A$73,$P9,'OEE Data'!$B$2:$B$73,Q$1)</x:f>
        <x:v>0.8535597227537554</x:v>
      </x:c>
      <x:c r="R9" s="86" t="n">
        <x:f>SUMIFS('OEE Data'!$N$2:$N$73,'OEE Data'!$A$2:$A$73,$P9,'OEE Data'!$B$2:$B$73,R$1)</x:f>
        <x:v>0.8533891506464999</x:v>
      </x:c>
      <x:c r="S9" s="86" t="n">
        <x:f>SUMIFS('OEE Data'!$N$2:$N$73,'OEE Data'!$A$2:$A$73,$P9,'OEE Data'!$B$2:$B$73,S$1)</x:f>
        <x:v>0.8621943556145601</x:v>
      </x:c>
      <x:c r="T9" s="86" t="n">
        <x:f>SUMIFS('OEE Data'!$N$2:$N$73,'OEE Data'!$A$2:$A$73,$P9,'OEE Data'!$B$2:$B$73,T$1)</x:f>
        <x:v>0.8579516467563613</x:v>
      </x:c>
    </x:row>
    <x:row r="10">
      <x:c r="A10" s="443" t="n">
        <x:f>SUM('OEE Data'!$I$2:$I$73)</x:f>
        <x:v>12936905.5</x:v>
      </x:c>
      <x:c r="B10" s="444"/>
      <x:c r="C10" s="445"/>
      <x:c r="D10" s="446" t="n">
        <x:f>SUM('Reliability Data'!$D$2:$D$13)/SUM('Reliability Data'!$E$2:$E$13)</x:f>
        <x:v>145.9577283184138</x:v>
      </x:c>
      <x:c r="E10" s="447"/>
      <x:c r="F10" s="448"/>
      <x:c r="G10" s="449" t="n">
        <x:f>SUM('Reliability Data'!$F$2:$F$13)/SUM('Reliability Data'!$E$2:$E$13)</x:f>
        <x:v>1.733317671824625</x:v>
      </x:c>
      <x:c r="H10" s="450"/>
      <x:c r="I10" s="451"/>
      <x:c r="J10" s="452" t="n">
        <x:f>SUM('OEE Data'!$E$2:$E$73)</x:f>
        <x:v>19581400</x:v>
      </x:c>
      <x:c r="K10" s="453"/>
      <x:c r="L10" s="454"/>
      <x:c r="M10" s="419" t="str">
        <x:v>MODEL CONTROL
Champion: random_forest
OOT PR-AUC: 0.3887
OOT Recall: 73.51%
OOT Alert Rate: 43.11%
RECOMMENDATION ONLY
Human approval required</x:v>
      </x:c>
      <x:c r="N10" s="420" t="str">
        <x:v>MODEL CONTROL
Champion: random_forest
OOT PR-AUC: 0.3887
OOT Recall: 73.51%
OOT Alert Rate: 43.11%
RECOMMENDATION ONLY
Human approval required</x:v>
      </x:c>
      <x:c r="O10" s="86"/>
      <x:c r="P10" s="86" t="str">
        <x:v>2024-09-01</x:v>
      </x:c>
      <x:c r="Q10" s="86" t="n">
        <x:f>SUMIFS('OEE Data'!$N$2:$N$73,'OEE Data'!$A$2:$A$73,$P10,'OEE Data'!$B$2:$B$73,Q$1)</x:f>
        <x:v>0.8558766185112577</x:v>
      </x:c>
      <x:c r="R10" s="86" t="n">
        <x:f>SUMIFS('OEE Data'!$N$2:$N$73,'OEE Data'!$A$2:$A$73,$P10,'OEE Data'!$B$2:$B$73,R$1)</x:f>
        <x:v>0.8600588096347411</x:v>
      </x:c>
      <x:c r="S10" s="86" t="n">
        <x:f>SUMIFS('OEE Data'!$N$2:$N$73,'OEE Data'!$A$2:$A$73,$P10,'OEE Data'!$B$2:$B$73,S$1)</x:f>
        <x:v>0.8515720655436705</x:v>
      </x:c>
      <x:c r="T10" s="86" t="n">
        <x:f>SUMIFS('OEE Data'!$N$2:$N$73,'OEE Data'!$A$2:$A$73,$P10,'OEE Data'!$B$2:$B$73,T$1)</x:f>
        <x:v>0.8584463552092477</x:v>
      </x:c>
    </x:row>
    <x:row r="11">
      <x:c r="A11" s="455"/>
      <x:c r="B11" s="456"/>
      <x:c r="C11" s="457"/>
      <x:c r="D11" s="458"/>
      <x:c r="E11" s="459"/>
      <x:c r="F11" s="460"/>
      <x:c r="G11" s="461"/>
      <x:c r="H11" s="462"/>
      <x:c r="I11" s="463"/>
      <x:c r="J11" s="464"/>
      <x:c r="K11" s="465"/>
      <x:c r="L11" s="466"/>
      <x:c r="M11" s="467" t="str">
        <x:v>MODEL CONTROL
Champion: random_forest
OOT PR-AUC: 0.3887
OOT Recall: 73.51%
OOT Alert Rate: 43.11%
RECOMMENDATION ONLY
Human approval required</x:v>
      </x:c>
      <x:c r="N11" s="468" t="str">
        <x:v>MODEL CONTROL
Champion: random_forest
OOT PR-AUC: 0.3887
OOT Recall: 73.51%
OOT Alert Rate: 43.11%
RECOMMENDATION ONLY
Human approval required</x:v>
      </x:c>
      <x:c r="O11" s="86"/>
      <x:c r="P11" s="86" t="str">
        <x:v>2024-10-01</x:v>
      </x:c>
      <x:c r="Q11" s="86" t="n">
        <x:f>SUMIFS('OEE Data'!$N$2:$N$73,'OEE Data'!$A$2:$A$73,$P11,'OEE Data'!$B$2:$B$73,Q$1)</x:f>
        <x:v>0.8516746973881835</x:v>
      </x:c>
      <x:c r="R11" s="86" t="n">
        <x:f>SUMIFS('OEE Data'!$N$2:$N$73,'OEE Data'!$A$2:$A$73,$P11,'OEE Data'!$B$2:$B$73,R$1)</x:f>
        <x:v>0.8533563458249976</x:v>
      </x:c>
      <x:c r="S11" s="86" t="n">
        <x:f>SUMIFS('OEE Data'!$N$2:$N$73,'OEE Data'!$A$2:$A$73,$P11,'OEE Data'!$B$2:$B$73,S$1)</x:f>
        <x:v>0.8430347894265334</x:v>
      </x:c>
      <x:c r="T11" s="86" t="n">
        <x:f>SUMIFS('OEE Data'!$N$2:$N$73,'OEE Data'!$A$2:$A$73,$P11,'OEE Data'!$B$2:$B$73,T$1)</x:f>
        <x:v>0.8462236695535872</x:v>
      </x:c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 t="str">
        <x:v>2024-11-01</x:v>
      </x:c>
      <x:c r="Q12" s="86" t="n">
        <x:f>SUMIFS('OEE Data'!$N$2:$N$73,'OEE Data'!$A$2:$A$73,$P12,'OEE Data'!$B$2:$B$73,Q$1)</x:f>
        <x:v>0.849370079861238</x:v>
      </x:c>
      <x:c r="R12" s="86" t="n">
        <x:f>SUMIFS('OEE Data'!$N$2:$N$73,'OEE Data'!$A$2:$A$73,$P12,'OEE Data'!$B$2:$B$73,R$1)</x:f>
        <x:v>0.8575943150392678</x:v>
      </x:c>
      <x:c r="S12" s="86" t="n">
        <x:f>SUMIFS('OEE Data'!$N$2:$N$73,'OEE Data'!$A$2:$A$73,$P12,'OEE Data'!$B$2:$B$73,S$1)</x:f>
        <x:v>0.8603742564690886</x:v>
      </x:c>
      <x:c r="T12" s="86" t="n">
        <x:f>SUMIFS('OEE Data'!$N$2:$N$73,'OEE Data'!$A$2:$A$73,$P12,'OEE Data'!$B$2:$B$73,T$1)</x:f>
        <x:v>0.8607255724136782</x:v>
      </x:c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 t="str">
        <x:v>2024-12-01</x:v>
      </x:c>
      <x:c r="Q13" s="86" t="n">
        <x:f>SUMIFS('OEE Data'!$N$2:$N$73,'OEE Data'!$A$2:$A$73,$P13,'OEE Data'!$B$2:$B$73,Q$1)</x:f>
        <x:v>0.8409790723015274</x:v>
      </x:c>
      <x:c r="R13" s="86" t="n">
        <x:f>SUMIFS('OEE Data'!$N$2:$N$73,'OEE Data'!$A$2:$A$73,$P13,'OEE Data'!$B$2:$B$73,R$1)</x:f>
        <x:v>0.8498720785526791</x:v>
      </x:c>
      <x:c r="S13" s="86" t="n">
        <x:f>SUMIFS('OEE Data'!$N$2:$N$73,'OEE Data'!$A$2:$A$73,$P13,'OEE Data'!$B$2:$B$73,S$1)</x:f>
        <x:v>0.8455830354837396</x:v>
      </x:c>
      <x:c r="T13" s="86" t="n">
        <x:f>SUMIFS('OEE Data'!$N$2:$N$73,'OEE Data'!$A$2:$A$73,$P13,'OEE Data'!$B$2:$B$73,T$1)</x:f>
        <x:v>0.8532317659768468</x:v>
      </x:c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 t="str">
        <x:v>2025-01-01</x:v>
      </x:c>
      <x:c r="Q14" s="86" t="n">
        <x:f>SUMIFS('OEE Data'!$N$2:$N$73,'OEE Data'!$A$2:$A$73,$P14,'OEE Data'!$B$2:$B$73,Q$1)</x:f>
        <x:v>0.8434560837648958</x:v>
      </x:c>
      <x:c r="R14" s="86" t="n">
        <x:f>SUMIFS('OEE Data'!$N$2:$N$73,'OEE Data'!$A$2:$A$73,$P14,'OEE Data'!$B$2:$B$73,R$1)</x:f>
        <x:v>0.8527635454595408</x:v>
      </x:c>
      <x:c r="S14" s="86" t="n">
        <x:f>SUMIFS('OEE Data'!$N$2:$N$73,'OEE Data'!$A$2:$A$73,$P14,'OEE Data'!$B$2:$B$73,S$1)</x:f>
        <x:v>0.8618169321216299</x:v>
      </x:c>
      <x:c r="T14" s="86" t="n">
        <x:f>SUMIFS('OEE Data'!$N$2:$N$73,'OEE Data'!$A$2:$A$73,$P14,'OEE Data'!$B$2:$B$73,T$1)</x:f>
        <x:v>0.8466415186267232</x:v>
      </x:c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 t="str">
        <x:v>2025-02-01</x:v>
      </x:c>
      <x:c r="Q15" s="86" t="n">
        <x:f>SUMIFS('OEE Data'!$N$2:$N$73,'OEE Data'!$A$2:$A$73,$P15,'OEE Data'!$B$2:$B$73,Q$1)</x:f>
        <x:v>0.8503630007322402</x:v>
      </x:c>
      <x:c r="R15" s="86" t="n">
        <x:f>SUMIFS('OEE Data'!$N$2:$N$73,'OEE Data'!$A$2:$A$73,$P15,'OEE Data'!$B$2:$B$73,R$1)</x:f>
        <x:v>0.8394820463569339</x:v>
      </x:c>
      <x:c r="S15" s="86" t="n">
        <x:f>SUMIFS('OEE Data'!$N$2:$N$73,'OEE Data'!$A$2:$A$73,$P15,'OEE Data'!$B$2:$B$73,S$1)</x:f>
        <x:v>0.8557964210381982</x:v>
      </x:c>
      <x:c r="T15" s="86" t="n">
        <x:f>SUMIFS('OEE Data'!$N$2:$N$73,'OEE Data'!$A$2:$A$73,$P15,'OEE Data'!$B$2:$B$73,T$1)</x:f>
        <x:v>0.8359728996040279</x:v>
      </x:c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 t="str">
        <x:v>2025-03-01</x:v>
      </x:c>
      <x:c r="Q16" s="86" t="n">
        <x:f>SUMIFS('OEE Data'!$N$2:$N$73,'OEE Data'!$A$2:$A$73,$P16,'OEE Data'!$B$2:$B$73,Q$1)</x:f>
        <x:v>0.8551257327631273</x:v>
      </x:c>
      <x:c r="R16" s="86" t="n">
        <x:f>SUMIFS('OEE Data'!$N$2:$N$73,'OEE Data'!$A$2:$A$73,$P16,'OEE Data'!$B$2:$B$73,R$1)</x:f>
        <x:v>0.8581895104372816</x:v>
      </x:c>
      <x:c r="S16" s="86" t="n">
        <x:f>SUMIFS('OEE Data'!$N$2:$N$73,'OEE Data'!$A$2:$A$73,$P16,'OEE Data'!$B$2:$B$73,S$1)</x:f>
        <x:v>0.8574159860575469</x:v>
      </x:c>
      <x:c r="T16" s="86" t="n">
        <x:f>SUMIFS('OEE Data'!$N$2:$N$73,'OEE Data'!$A$2:$A$73,$P16,'OEE Data'!$B$2:$B$73,T$1)</x:f>
        <x:v>0.8594800810248383</x:v>
      </x:c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 t="str">
        <x:v>2025-04-01</x:v>
      </x:c>
      <x:c r="Q17" s="86" t="n">
        <x:f>SUMIFS('OEE Data'!$N$2:$N$73,'OEE Data'!$A$2:$A$73,$P17,'OEE Data'!$B$2:$B$73,Q$1)</x:f>
        <x:v>0.8563016363339828</x:v>
      </x:c>
      <x:c r="R17" s="86" t="n">
        <x:f>SUMIFS('OEE Data'!$N$2:$N$73,'OEE Data'!$A$2:$A$73,$P17,'OEE Data'!$B$2:$B$73,R$1)</x:f>
        <x:v>0.8581279910598225</x:v>
      </x:c>
      <x:c r="S17" s="86" t="n">
        <x:f>SUMIFS('OEE Data'!$N$2:$N$73,'OEE Data'!$A$2:$A$73,$P17,'OEE Data'!$B$2:$B$73,S$1)</x:f>
        <x:v>0.8469481238076987</x:v>
      </x:c>
      <x:c r="T17" s="86" t="n">
        <x:f>SUMIFS('OEE Data'!$N$2:$N$73,'OEE Data'!$A$2:$A$73,$P17,'OEE Data'!$B$2:$B$73,T$1)</x:f>
        <x:v>0.8554941524625403</x:v>
      </x:c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 t="str">
        <x:v>2025-05-01</x:v>
      </x:c>
      <x:c r="Q18" s="86" t="n">
        <x:f>SUMIFS('OEE Data'!$N$2:$N$73,'OEE Data'!$A$2:$A$73,$P18,'OEE Data'!$B$2:$B$73,Q$1)</x:f>
        <x:v>0.8478941341000844</x:v>
      </x:c>
      <x:c r="R18" s="86" t="n">
        <x:f>SUMIFS('OEE Data'!$N$2:$N$73,'OEE Data'!$A$2:$A$73,$P18,'OEE Data'!$B$2:$B$73,R$1)</x:f>
        <x:v>0.851854255484204</x:v>
      </x:c>
      <x:c r="S18" s="86" t="n">
        <x:f>SUMIFS('OEE Data'!$N$2:$N$73,'OEE Data'!$A$2:$A$73,$P18,'OEE Data'!$B$2:$B$73,S$1)</x:f>
        <x:v>0.8417057474047043</x:v>
      </x:c>
      <x:c r="T18" s="86" t="n">
        <x:f>SUMIFS('OEE Data'!$N$2:$N$73,'OEE Data'!$A$2:$A$73,$P18,'OEE Data'!$B$2:$B$73,T$1)</x:f>
        <x:v>0.8489285326901702</x:v>
      </x:c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 t="str">
        <x:v>2025-06-01</x:v>
      </x:c>
      <x:c r="Q19" s="86" t="n">
        <x:f>SUMIFS('OEE Data'!$N$2:$N$73,'OEE Data'!$A$2:$A$73,$P19,'OEE Data'!$B$2:$B$73,Q$1)</x:f>
        <x:v>0.8538016384299844</x:v>
      </x:c>
      <x:c r="R19" s="86" t="n">
        <x:f>SUMIFS('OEE Data'!$N$2:$N$73,'OEE Data'!$A$2:$A$73,$P19,'OEE Data'!$B$2:$B$73,R$1)</x:f>
        <x:v>0.8500972542154193</x:v>
      </x:c>
      <x:c r="S19" s="86" t="n">
        <x:f>SUMIFS('OEE Data'!$N$2:$N$73,'OEE Data'!$A$2:$A$73,$P19,'OEE Data'!$B$2:$B$73,S$1)</x:f>
        <x:v>0.8530774391762768</x:v>
      </x:c>
      <x:c r="T19" s="86" t="n">
        <x:f>SUMIFS('OEE Data'!$N$2:$N$73,'OEE Data'!$A$2:$A$73,$P19,'OEE Data'!$B$2:$B$73,T$1)</x:f>
        <x:v>0.8584326118895349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 t="str">
        <x:f>'Downtime Data'!A1</x:f>
        <x:v>category</x:v>
      </x:c>
      <x:c r="Q23" s="86" t="str">
        <x:f>'Downtime Data'!B1</x:f>
        <x:v>duration_min</x:v>
      </x:c>
      <x:c r="R23" s="86"/>
      <x:c r="S23" s="86"/>
      <x:c r="T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 t="str">
        <x:f>'Downtime Data'!A2</x:f>
        <x:v>Electrical</x:v>
      </x:c>
      <x:c r="Q24" s="86" t="n">
        <x:f>'Downtime Data'!B2/60</x:f>
        <x:v>1032.774170701807</x:v>
      </x:c>
      <x:c r="R24" s="86"/>
      <x:c r="S24" s="86"/>
      <x:c r="T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 t="str">
        <x:f>'Downtime Data'!A3</x:f>
        <x:v>Minor Stop</x:v>
      </x:c>
      <x:c r="Q25" s="86" t="n">
        <x:f>'Downtime Data'!B3/60</x:f>
        <x:v>706.388319907982</x:v>
      </x:c>
      <x:c r="R25" s="86"/>
      <x:c r="S25" s="86"/>
      <x:c r="T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 t="str">
        <x:f>'Downtime Data'!A4</x:f>
        <x:v>Bearing</x:v>
      </x:c>
      <x:c r="Q26" s="86" t="n">
        <x:f>'Downtime Data'!B4/60</x:f>
        <x:v>443.76136313820683</x:v>
      </x:c>
      <x:c r="R26" s="86"/>
      <x:c r="S26" s="86"/>
      <x:c r="T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 t="str">
        <x:f>'Downtime Data'!A5</x:f>
        <x:v>Sensor</x:v>
      </x:c>
      <x:c r="Q27" s="86" t="n">
        <x:f>'Downtime Data'!B5/60</x:f>
        <x:v>107.82308983195345</x:v>
      </x:c>
      <x:c r="R27" s="86"/>
      <x:c r="S27" s="86"/>
      <x:c r="T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 t="str">
        <x:f>'Downtime Data'!A6</x:f>
        <x:v>Hydraulic</x:v>
      </x:c>
      <x:c r="Q28" s="86" t="n">
        <x:f>'Downtime Data'!B6/60</x:f>
        <x:v>101.3303657065709</x:v>
      </x:c>
      <x:c r="R28" s="86"/>
      <x:c r="S28" s="86"/>
      <x:c r="T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 t="str">
        <x:f>'Downtime Data'!A7</x:f>
        <x:v>Overheating</x:v>
      </x:c>
      <x:c r="Q29" s="86" t="n">
        <x:f>'Downtime Data'!B7/60</x:f>
        <x:v>73.62844752345624</x:v>
      </x:c>
      <x:c r="R29" s="86"/>
      <x:c r="S29" s="86"/>
      <x:c r="T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</x:row>
    <x:row r="31">
      <x:c r="A31" s="469" t="str">
        <x:v>Interpretation boundary: all values are synthetic. The service provides decision support and cannot stop equipment, create maintenance orders or approve work.</x:v>
      </x:c>
      <x:c r="B31" s="470" t="str">
        <x:v>Interpretation boundary: all values are synthetic. The service provides decision support and cannot stop equipment, create maintenance orders or approve work.</x:v>
      </x:c>
      <x:c r="C31" s="470" t="str">
        <x:v>Interpretation boundary: all values are synthetic. The service provides decision support and cannot stop equipment, create maintenance orders or approve work.</x:v>
      </x:c>
      <x:c r="D31" s="470" t="str">
        <x:v>Interpretation boundary: all values are synthetic. The service provides decision support and cannot stop equipment, create maintenance orders or approve work.</x:v>
      </x:c>
      <x:c r="E31" s="470" t="str">
        <x:v>Interpretation boundary: all values are synthetic. The service provides decision support and cannot stop equipment, create maintenance orders or approve work.</x:v>
      </x:c>
      <x:c r="F31" s="470" t="str">
        <x:v>Interpretation boundary: all values are synthetic. The service provides decision support and cannot stop equipment, create maintenance orders or approve work.</x:v>
      </x:c>
      <x:c r="G31" s="470" t="str">
        <x:v>Interpretation boundary: all values are synthetic. The service provides decision support and cannot stop equipment, create maintenance orders or approve work.</x:v>
      </x:c>
      <x:c r="H31" s="470" t="str">
        <x:v>Interpretation boundary: all values are synthetic. The service provides decision support and cannot stop equipment, create maintenance orders or approve work.</x:v>
      </x:c>
      <x:c r="I31" s="470" t="str">
        <x:v>Interpretation boundary: all values are synthetic. The service provides decision support and cannot stop equipment, create maintenance orders or approve work.</x:v>
      </x:c>
      <x:c r="J31" s="470" t="str">
        <x:v>Interpretation boundary: all values are synthetic. The service provides decision support and cannot stop equipment, create maintenance orders or approve work.</x:v>
      </x:c>
      <x:c r="K31" s="470" t="str">
        <x:v>Interpretation boundary: all values are synthetic. The service provides decision support and cannot stop equipment, create maintenance orders or approve work.</x:v>
      </x:c>
      <x:c r="L31" s="470" t="str">
        <x:v>Interpretation boundary: all values are synthetic. The service provides decision support and cannot stop equipment, create maintenance orders or approve work.</x:v>
      </x:c>
      <x:c r="M31" s="470" t="str">
        <x:v>Interpretation boundary: all values are synthetic. The service provides decision support and cannot stop equipment, create maintenance orders or approve work.</x:v>
      </x:c>
      <x:c r="N31" s="471" t="str">
        <x:v>Interpretation boundary: all values are synthetic. The service provides decision support and cannot stop equipment, create maintenance orders or approve work.</x:v>
      </x:c>
      <x:c r="O31" s="86"/>
      <x:c r="P31" s="86"/>
      <x:c r="Q31" s="86"/>
      <x:c r="R31" s="86"/>
      <x:c r="S31" s="86"/>
      <x:c r="T31" s="86"/>
    </x:row>
    <x:row r="32">
      <x:c r="A32" s="472" t="str">
        <x:v>Interpretation boundary: all values are synthetic. The service provides decision support and cannot stop equipment, create maintenance orders or approve work.</x:v>
      </x:c>
      <x:c r="B32" s="473" t="str">
        <x:v>Interpretation boundary: all values are synthetic. The service provides decision support and cannot stop equipment, create maintenance orders or approve work.</x:v>
      </x:c>
      <x:c r="C32" s="473" t="str">
        <x:v>Interpretation boundary: all values are synthetic. The service provides decision support and cannot stop equipment, create maintenance orders or approve work.</x:v>
      </x:c>
      <x:c r="D32" s="473" t="str">
        <x:v>Interpretation boundary: all values are synthetic. The service provides decision support and cannot stop equipment, create maintenance orders or approve work.</x:v>
      </x:c>
      <x:c r="E32" s="473" t="str">
        <x:v>Interpretation boundary: all values are synthetic. The service provides decision support and cannot stop equipment, create maintenance orders or approve work.</x:v>
      </x:c>
      <x:c r="F32" s="473" t="str">
        <x:v>Interpretation boundary: all values are synthetic. The service provides decision support and cannot stop equipment, create maintenance orders or approve work.</x:v>
      </x:c>
      <x:c r="G32" s="473" t="str">
        <x:v>Interpretation boundary: all values are synthetic. The service provides decision support and cannot stop equipment, create maintenance orders or approve work.</x:v>
      </x:c>
      <x:c r="H32" s="473" t="str">
        <x:v>Interpretation boundary: all values are synthetic. The service provides decision support and cannot stop equipment, create maintenance orders or approve work.</x:v>
      </x:c>
      <x:c r="I32" s="473" t="str">
        <x:v>Interpretation boundary: all values are synthetic. The service provides decision support and cannot stop equipment, create maintenance orders or approve work.</x:v>
      </x:c>
      <x:c r="J32" s="473" t="str">
        <x:v>Interpretation boundary: all values are synthetic. The service provides decision support and cannot stop equipment, create maintenance orders or approve work.</x:v>
      </x:c>
      <x:c r="K32" s="473" t="str">
        <x:v>Interpretation boundary: all values are synthetic. The service provides decision support and cannot stop equipment, create maintenance orders or approve work.</x:v>
      </x:c>
      <x:c r="L32" s="473" t="str">
        <x:v>Interpretation boundary: all values are synthetic. The service provides decision support and cannot stop equipment, create maintenance orders or approve work.</x:v>
      </x:c>
      <x:c r="M32" s="473" t="str">
        <x:v>Interpretation boundary: all values are synthetic. The service provides decision support and cannot stop equipment, create maintenance orders or approve work.</x:v>
      </x:c>
      <x:c r="N32" s="474" t="str">
        <x:v>Interpretation boundary: all values are synthetic. The service provides decision support and cannot stop equipment, create maintenance orders or approve work.</x:v>
      </x:c>
      <x:c r="O32" s="86"/>
      <x:c r="P32" s="86"/>
      <x:c r="Q32" s="86"/>
      <x:c r="R32" s="86"/>
      <x:c r="S32" s="86"/>
      <x:c r="T32" s="86"/>
    </x:row>
    <x:row r="33">
      <x:c r="A33" s="475" t="str">
        <x:v>Interpretation boundary: all values are synthetic. The service provides decision support and cannot stop equipment, create maintenance orders or approve work.</x:v>
      </x:c>
      <x:c r="B33" s="476" t="str">
        <x:v>Interpretation boundary: all values are synthetic. The service provides decision support and cannot stop equipment, create maintenance orders or approve work.</x:v>
      </x:c>
      <x:c r="C33" s="476" t="str">
        <x:v>Interpretation boundary: all values are synthetic. The service provides decision support and cannot stop equipment, create maintenance orders or approve work.</x:v>
      </x:c>
      <x:c r="D33" s="476" t="str">
        <x:v>Interpretation boundary: all values are synthetic. The service provides decision support and cannot stop equipment, create maintenance orders or approve work.</x:v>
      </x:c>
      <x:c r="E33" s="476" t="str">
        <x:v>Interpretation boundary: all values are synthetic. The service provides decision support and cannot stop equipment, create maintenance orders or approve work.</x:v>
      </x:c>
      <x:c r="F33" s="476" t="str">
        <x:v>Interpretation boundary: all values are synthetic. The service provides decision support and cannot stop equipment, create maintenance orders or approve work.</x:v>
      </x:c>
      <x:c r="G33" s="476" t="str">
        <x:v>Interpretation boundary: all values are synthetic. The service provides decision support and cannot stop equipment, create maintenance orders or approve work.</x:v>
      </x:c>
      <x:c r="H33" s="476" t="str">
        <x:v>Interpretation boundary: all values are synthetic. The service provides decision support and cannot stop equipment, create maintenance orders or approve work.</x:v>
      </x:c>
      <x:c r="I33" s="476" t="str">
        <x:v>Interpretation boundary: all values are synthetic. The service provides decision support and cannot stop equipment, create maintenance orders or approve work.</x:v>
      </x:c>
      <x:c r="J33" s="476" t="str">
        <x:v>Interpretation boundary: all values are synthetic. The service provides decision support and cannot stop equipment, create maintenance orders or approve work.</x:v>
      </x:c>
      <x:c r="K33" s="476" t="str">
        <x:v>Interpretation boundary: all values are synthetic. The service provides decision support and cannot stop equipment, create maintenance orders or approve work.</x:v>
      </x:c>
      <x:c r="L33" s="476" t="str">
        <x:v>Interpretation boundary: all values are synthetic. The service provides decision support and cannot stop equipment, create maintenance orders or approve work.</x:v>
      </x:c>
      <x:c r="M33" s="476" t="str">
        <x:v>Interpretation boundary: all values are synthetic. The service provides decision support and cannot stop equipment, create maintenance orders or approve work.</x:v>
      </x:c>
      <x:c r="N33" s="477" t="str">
        <x:v>Interpretation boundary: all values are synthetic. The service provides decision support and cannot stop equipment, create maintenance orders or approve work.</x:v>
      </x:c>
      <x:c r="O33" s="86"/>
      <x:c r="P33" s="86"/>
      <x:c r="Q33" s="86"/>
      <x:c r="R33" s="86"/>
      <x:c r="S33" s="86"/>
      <x:c r="T33" s="86"/>
    </x:row>
  </x:sheetData>
  <x:mergeCells>
    <x:mergeCell ref="A1:N2"/>
    <x:mergeCell ref="A4:C4"/>
    <x:mergeCell ref="A5:C7"/>
    <x:mergeCell ref="D4:F4"/>
    <x:mergeCell ref="D5:F7"/>
    <x:mergeCell ref="G4:I4"/>
    <x:mergeCell ref="G5:I7"/>
    <x:mergeCell ref="J4:L4"/>
    <x:mergeCell ref="J5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4:N11"/>
    <x:mergeCell ref="A31:N33"/>
  </x:mergeCells>
  <x:pageMargins left="0.7" right="0.7" top="0.75" bottom="0.75" header="0.3" footer="0.3"/>
  <x:drawing xmlns:r="http://schemas.openxmlformats.org/officeDocument/2006/relationships" r:id="R57863e0c2ace4d94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</x:cols>
  <x:sheetData>
    <x:row r="1" ht="32" customHeight="1">
      <x:c r="A1" s="80" t="str">
        <x:v>HUMAN-IN-THE-LOOP MAINTENANCE PLANNER
Latest OOT machine scores • Formula-driven cost/risk scenario</x:v>
      </x:c>
      <x:c r="B1" s="81" t="str">
        <x:v>HUMAN-IN-THE-LOOP MAINTENANCE PLANNER
Latest OOT machine scores • Formula-driven cost/risk scenario</x:v>
      </x:c>
      <x:c r="C1" s="81" t="str">
        <x:v>HUMAN-IN-THE-LOOP MAINTENANCE PLANNER
Latest OOT machine scores • Formula-driven cost/risk scenario</x:v>
      </x:c>
      <x:c r="D1" s="81" t="str">
        <x:v>HUMAN-IN-THE-LOOP MAINTENANCE PLANNER
Latest OOT machine scores • Formula-driven cost/risk scenario</x:v>
      </x:c>
      <x:c r="E1" s="81" t="str">
        <x:v>HUMAN-IN-THE-LOOP MAINTENANCE PLANNER
Latest OOT machine scores • Formula-driven cost/risk scenario</x:v>
      </x:c>
      <x:c r="F1" s="81" t="str">
        <x:v>HUMAN-IN-THE-LOOP MAINTENANCE PLANNER
Latest OOT machine scores • Formula-driven cost/risk scenario</x:v>
      </x:c>
      <x:c r="G1" s="81" t="str">
        <x:v>HUMAN-IN-THE-LOOP MAINTENANCE PLANNER
Latest OOT machine scores • Formula-driven cost/risk scenario</x:v>
      </x:c>
      <x:c r="H1" s="81" t="str">
        <x:v>HUMAN-IN-THE-LOOP MAINTENANCE PLANNER
Latest OOT machine scores • Formula-driven cost/risk scenario</x:v>
      </x:c>
      <x:c r="I1" s="81" t="str">
        <x:v>HUMAN-IN-THE-LOOP MAINTENANCE PLANNER
Latest OOT machine scores • Formula-driven cost/risk scenario</x:v>
      </x:c>
      <x:c r="J1" s="81" t="str">
        <x:v>HUMAN-IN-THE-LOOP MAINTENANCE PLANNER
Latest OOT machine scores • Formula-driven cost/risk scenario</x:v>
      </x:c>
      <x:c r="K1" s="81" t="str">
        <x:v>HUMAN-IN-THE-LOOP MAINTENANCE PLANNER
Latest OOT machine scores • Formula-driven cost/risk scenario</x:v>
      </x:c>
      <x:c r="L1" s="82" t="str">
        <x:v>HUMAN-IN-THE-LOOP MAINTENANCE PLANNER
Latest OOT machine scores • Formula-driven cost/risk scenario</x:v>
      </x:c>
    </x:row>
    <x:row r="2" ht="32" customHeight="1">
      <x:c r="A2" s="83" t="str">
        <x:v>HUMAN-IN-THE-LOOP MAINTENANCE PLANNER
Latest OOT machine scores • Formula-driven cost/risk scenario</x:v>
      </x:c>
      <x:c r="B2" s="84" t="str">
        <x:v>HUMAN-IN-THE-LOOP MAINTENANCE PLANNER
Latest OOT machine scores • Formula-driven cost/risk scenario</x:v>
      </x:c>
      <x:c r="C2" s="84" t="str">
        <x:v>HUMAN-IN-THE-LOOP MAINTENANCE PLANNER
Latest OOT machine scores • Formula-driven cost/risk scenario</x:v>
      </x:c>
      <x:c r="D2" s="84" t="str">
        <x:v>HUMAN-IN-THE-LOOP MAINTENANCE PLANNER
Latest OOT machine scores • Formula-driven cost/risk scenario</x:v>
      </x:c>
      <x:c r="E2" s="84" t="str">
        <x:v>HUMAN-IN-THE-LOOP MAINTENANCE PLANNER
Latest OOT machine scores • Formula-driven cost/risk scenario</x:v>
      </x:c>
      <x:c r="F2" s="84" t="str">
        <x:v>HUMAN-IN-THE-LOOP MAINTENANCE PLANNER
Latest OOT machine scores • Formula-driven cost/risk scenario</x:v>
      </x:c>
      <x:c r="G2" s="84" t="str">
        <x:v>HUMAN-IN-THE-LOOP MAINTENANCE PLANNER
Latest OOT machine scores • Formula-driven cost/risk scenario</x:v>
      </x:c>
      <x:c r="H2" s="84" t="str">
        <x:v>HUMAN-IN-THE-LOOP MAINTENANCE PLANNER
Latest OOT machine scores • Formula-driven cost/risk scenario</x:v>
      </x:c>
      <x:c r="I2" s="84" t="str">
        <x:v>HUMAN-IN-THE-LOOP MAINTENANCE PLANNER
Latest OOT machine scores • Formula-driven cost/risk scenario</x:v>
      </x:c>
      <x:c r="J2" s="84" t="str">
        <x:v>HUMAN-IN-THE-LOOP MAINTENANCE PLANNER
Latest OOT machine scores • Formula-driven cost/risk scenario</x:v>
      </x:c>
      <x:c r="K2" s="84" t="str">
        <x:v>HUMAN-IN-THE-LOOP MAINTENANCE PLANNER
Latest OOT machine scores • Formula-driven cost/risk scenario</x:v>
      </x:c>
      <x:c r="L2" s="85" t="str">
        <x:v>HUMAN-IN-THE-LOOP MAINTENANCE PLANNER
Latest OOT machine scores • Formula-driven cost/risk scenario</x:v>
      </x:c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</x:row>
    <x:row r="4" ht="24" hidden="0" customHeight="1">
      <x:c r="A4" s="557" t="str">
        <x:v>Machine</x:v>
      </x:c>
      <x:c r="B4" s="557" t="str">
        <x:v>Line</x:v>
      </x:c>
      <x:c r="C4" s="557" t="str">
        <x:v>Failure Probability</x:v>
      </x:c>
      <x:c r="D4" s="557" t="str">
        <x:v>Criticality</x:v>
      </x:c>
      <x:c r="E4" s="557" t="str">
        <x:v>Failure Cost</x:v>
      </x:c>
      <x:c r="F4" s="557" t="str">
        <x:v>Maintenance Cost</x:v>
      </x:c>
      <x:c r="G4" s="557" t="str">
        <x:v>Intervention Effectiveness</x:v>
      </x:c>
      <x:c r="H4" s="557" t="str">
        <x:v>Expected Failure Cost</x:v>
      </x:c>
      <x:c r="I4" s="557" t="str">
        <x:v>Expected Avoided Loss</x:v>
      </x:c>
      <x:c r="J4" s="557" t="str">
        <x:v>Expected Net Benefit</x:v>
      </x:c>
      <x:c r="K4" s="557" t="str">
        <x:v>Risk / Cost</x:v>
      </x:c>
      <x:c r="L4" s="557" t="str">
        <x:v>Priority</x:v>
      </x:c>
    </x:row>
    <x:row r="5" ht="15" hidden="0" customHeight="1">
      <x:c r="A5" s="558" t="str">
        <x:v>MC-12</x:v>
      </x:c>
      <x:c r="B5" s="559" t="str">
        <x:v>LINE-D</x:v>
      </x:c>
      <x:c r="C5" s="560" t="n">
        <x:v>0.3412982955006608</x:v>
      </x:c>
      <x:c r="D5" s="559" t="n">
        <x:v>5</x:v>
      </x:c>
      <x:c r="E5" s="561" t="n">
        <x:v>40100</x:v>
      </x:c>
      <x:c r="F5" s="561" t="n">
        <x:v>4060</x:v>
      </x:c>
      <x:c r="G5" s="562" t="n">
        <x:f>'Assumptions'!$B$12</x:f>
        <x:v>0.65</x:v>
      </x:c>
      <x:c r="H5" s="561" t="n">
        <x:f>C5*E5*(0.75+0.10*D5)</x:f>
        <x:v>17107.577061970624</x:v>
      </x:c>
      <x:c r="I5" s="561" t="n">
        <x:f>H5*G5</x:f>
        <x:v>11119.925090280905</x:v>
      </x:c>
      <x:c r="J5" s="561" t="n">
        <x:f>I5-F5</x:f>
        <x:v>7059.925090280905</x:v>
      </x:c>
      <x:c r="K5" s="563" t="n">
        <x:f>I5/F5</x:f>
        <x:v>2.7388978054879076</x:v>
      </x:c>
      <x:c r="L5" s="564" t="str">
        <x:f>IF(AND(C5&gt;=MIN('Assumptions'!$B$15*1.25,0.95),D5&gt;=4,J5&gt;0),"P1",IF(AND(C5&gt;='Assumptions'!$B$15,J5&gt;0),"P2",IF(OR(C5&gt;='Assumptions'!$B$15*0.65,K5&gt;=0.75),"P3","MONITOR")))</x:f>
        <x:v>P1</x:v>
      </x:c>
    </x:row>
    <x:row r="6" ht="15" hidden="0" customHeight="1">
      <x:c r="A6" s="90" t="str">
        <x:v>MC-05</x:v>
      </x:c>
      <x:c r="B6" s="92" t="str">
        <x:v>LINE-B</x:v>
      </x:c>
      <x:c r="C6" s="565" t="n">
        <x:v>0.2789684094684845</x:v>
      </x:c>
      <x:c r="D6" s="92" t="n">
        <x:v>5</x:v>
      </x:c>
      <x:c r="E6" s="566" t="n">
        <x:v>37700</x:v>
      </x:c>
      <x:c r="F6" s="566" t="n">
        <x:v>3880</x:v>
      </x:c>
      <x:c r="G6" s="567" t="n">
        <x:f>'Assumptions'!$B$12</x:f>
        <x:v>0.65</x:v>
      </x:c>
      <x:c r="H6" s="566" t="n">
        <x:f>C6*E6*(0.75+0.10*D6)</x:f>
        <x:v>13146.38629620233</x:v>
      </x:c>
      <x:c r="I6" s="566" t="n">
        <x:f>H6*G6</x:f>
        <x:v>8545.151092531514</x:v>
      </x:c>
      <x:c r="J6" s="566" t="n">
        <x:f>I6-F6</x:f>
        <x:v>4665.151092531514</x:v>
      </x:c>
      <x:c r="K6" s="568" t="n">
        <x:f>I6/F6</x:f>
        <x:v>2.2023585290029675</x:v>
      </x:c>
      <x:c r="L6" s="93" t="str">
        <x:f>IF(AND(C6&gt;=MIN('Assumptions'!$B$15*1.25,0.95),D6&gt;=4,J6&gt;0),"P1",IF(AND(C6&gt;='Assumptions'!$B$15,J6&gt;0),"P2",IF(OR(C6&gt;='Assumptions'!$B$15*0.65,K6&gt;=0.75),"P3","MONITOR")))</x:f>
        <x:v>P1</x:v>
      </x:c>
    </x:row>
    <x:row r="7" ht="15" hidden="0" customHeight="1">
      <x:c r="A7" s="90" t="str">
        <x:v>MC-02</x:v>
      </x:c>
      <x:c r="B7" s="92" t="str">
        <x:v>LINE-A</x:v>
      </x:c>
      <x:c r="C7" s="565" t="n">
        <x:v>0.33643287118258147</x:v>
      </x:c>
      <x:c r="D7" s="92" t="n">
        <x:v>4</x:v>
      </x:c>
      <x:c r="E7" s="566" t="n">
        <x:v>31000</x:v>
      </x:c>
      <x:c r="F7" s="566" t="n">
        <x:v>3460</x:v>
      </x:c>
      <x:c r="G7" s="567" t="n">
        <x:f>'Assumptions'!$B$12</x:f>
        <x:v>0.65</x:v>
      </x:c>
      <x:c r="H7" s="566" t="n">
        <x:f>C7*E7*(0.75+0.10*D7)</x:f>
        <x:v>11993.831857659028</x:v>
      </x:c>
      <x:c r="I7" s="566" t="n">
        <x:f>H7*G7</x:f>
        <x:v>7795.990707478369</x:v>
      </x:c>
      <x:c r="J7" s="566" t="n">
        <x:f>I7-F7</x:f>
        <x:v>4335.990707478369</x:v>
      </x:c>
      <x:c r="K7" s="568" t="n">
        <x:f>I7/F7</x:f>
        <x:v>2.2531765050515515</x:v>
      </x:c>
      <x:c r="L7" s="93" t="str">
        <x:f>IF(AND(C7&gt;=MIN('Assumptions'!$B$15*1.25,0.95),D7&gt;=4,J7&gt;0),"P1",IF(AND(C7&gt;='Assumptions'!$B$15,J7&gt;0),"P2",IF(OR(C7&gt;='Assumptions'!$B$15*0.65,K7&gt;=0.75),"P3","MONITOR")))</x:f>
        <x:v>P1</x:v>
      </x:c>
    </x:row>
    <x:row r="8" ht="15" hidden="0" customHeight="1">
      <x:c r="A8" s="90" t="str">
        <x:v>MC-04</x:v>
      </x:c>
      <x:c r="B8" s="92" t="str">
        <x:v>LINE-B</x:v>
      </x:c>
      <x:c r="C8" s="565" t="n">
        <x:v>0.21578260886584286</x:v>
      </x:c>
      <x:c r="D8" s="92" t="n">
        <x:v>4</x:v>
      </x:c>
      <x:c r="E8" s="566" t="n">
        <x:v>32200</x:v>
      </x:c>
      <x:c r="F8" s="566" t="n">
        <x:v>3280</x:v>
      </x:c>
      <x:c r="G8" s="567" t="n">
        <x:f>'Assumptions'!$B$12</x:f>
        <x:v>0.65</x:v>
      </x:c>
      <x:c r="H8" s="566" t="n">
        <x:f>C8*E8*(0.75+0.10*D8)</x:f>
        <x:v>7990.43000630216</x:v>
      </x:c>
      <x:c r="I8" s="566" t="n">
        <x:f>H8*G8</x:f>
        <x:v>5193.779504096404</x:v>
      </x:c>
      <x:c r="J8" s="566" t="n">
        <x:f>I8-F8</x:f>
        <x:v>1913.7795040964038</x:v>
      </x:c>
      <x:c r="K8" s="568" t="n">
        <x:f>I8/F8</x:f>
        <x:v>1.5834693610050012</x:v>
      </x:c>
      <x:c r="L8" s="93" t="str">
        <x:f>IF(AND(C8&gt;=MIN('Assumptions'!$B$15*1.25,0.95),D8&gt;=4,J8&gt;0),"P1",IF(AND(C8&gt;='Assumptions'!$B$15,J8&gt;0),"P2",IF(OR(C8&gt;='Assumptions'!$B$15*0.65,K8&gt;=0.75),"P3","MONITOR")))</x:f>
        <x:v>P1</x:v>
      </x:c>
    </x:row>
    <x:row r="9" ht="15" hidden="0" customHeight="1">
      <x:c r="A9" s="90" t="str">
        <x:v>MC-03</x:v>
      </x:c>
      <x:c r="B9" s="92" t="str">
        <x:v>LINE-A</x:v>
      </x:c>
      <x:c r="C9" s="565" t="n">
        <x:v>0.18904494328861346</x:v>
      </x:c>
      <x:c r="D9" s="92" t="n">
        <x:v>5</x:v>
      </x:c>
      <x:c r="E9" s="566" t="n">
        <x:v>36500</x:v>
      </x:c>
      <x:c r="F9" s="566" t="n">
        <x:v>4060</x:v>
      </x:c>
      <x:c r="G9" s="567" t="n">
        <x:f>'Assumptions'!$B$12</x:f>
        <x:v>0.65</x:v>
      </x:c>
      <x:c r="H9" s="566" t="n">
        <x:f>C9*E9*(0.75+0.10*D9)</x:f>
        <x:v>8625.17553754299</x:v>
      </x:c>
      <x:c r="I9" s="566" t="n">
        <x:f>H9*G9</x:f>
        <x:v>5606.364099402943</x:v>
      </x:c>
      <x:c r="J9" s="566" t="n">
        <x:f>I9-F9</x:f>
        <x:v>1546.3640994029429</x:v>
      </x:c>
      <x:c r="K9" s="568" t="n">
        <x:f>I9/F9</x:f>
        <x:v>1.3808778569957987</x:v>
      </x:c>
      <x:c r="L9" s="93" t="str">
        <x:f>IF(AND(C9&gt;=MIN('Assumptions'!$B$15*1.25,0.95),D9&gt;=4,J9&gt;0),"P1",IF(AND(C9&gt;='Assumptions'!$B$15,J9&gt;0),"P2",IF(OR(C9&gt;='Assumptions'!$B$15*0.65,K9&gt;=0.75),"P3","MONITOR")))</x:f>
        <x:v>P1</x:v>
      </x:c>
    </x:row>
    <x:row r="10" ht="15" hidden="0" customHeight="1">
      <x:c r="A10" s="90" t="str">
        <x:v>MC-10</x:v>
      </x:c>
      <x:c r="B10" s="92" t="str">
        <x:v>LINE-D</x:v>
      </x:c>
      <x:c r="C10" s="565" t="n">
        <x:v>0.08290453895120602</x:v>
      </x:c>
      <x:c r="D10" s="92" t="n">
        <x:v>3</x:v>
      </x:c>
      <x:c r="E10" s="566" t="n">
        <x:v>29100</x:v>
      </x:c>
      <x:c r="F10" s="566" t="n">
        <x:v>2860</x:v>
      </x:c>
      <x:c r="G10" s="567" t="n">
        <x:f>'Assumptions'!$B$12</x:f>
        <x:v>0.65</x:v>
      </x:c>
      <x:c r="H10" s="566" t="n">
        <x:f>C10*E10*(0.75+0.10*D10)</x:f>
        <x:v>2533.1481876541</x:v>
      </x:c>
      <x:c r="I10" s="566" t="n">
        <x:f>H10*G10</x:f>
        <x:v>1646.5463219751653</x:v>
      </x:c>
      <x:c r="J10" s="566" t="n">
        <x:f>I10-F10</x:f>
        <x:v>-1213.4536780248347</x:v>
      </x:c>
      <x:c r="K10" s="568" t="n">
        <x:f>I10/F10</x:f>
        <x:v>0.5757154971941137</x:v>
      </x:c>
      <x:c r="L10" s="93" t="str">
        <x:f>IF(AND(C10&gt;=MIN('Assumptions'!$B$15*1.25,0.95),D10&gt;=4,J10&gt;0),"P1",IF(AND(C10&gt;='Assumptions'!$B$15,J10&gt;0),"P2",IF(OR(C10&gt;='Assumptions'!$B$15*0.65,K10&gt;=0.75),"P3","MONITOR")))</x:f>
        <x:v>MONITOR</x:v>
      </x:c>
    </x:row>
    <x:row r="11" ht="15" hidden="0" customHeight="1">
      <x:c r="A11" s="90" t="str">
        <x:v>MC-01</x:v>
      </x:c>
      <x:c r="B11" s="92" t="str">
        <x:v>LINE-A</x:v>
      </x:c>
      <x:c r="C11" s="565" t="n">
        <x:v>0.09079739986160722</x:v>
      </x:c>
      <x:c r="D11" s="92" t="n">
        <x:v>3</x:v>
      </x:c>
      <x:c r="E11" s="566" t="n">
        <x:v>25500</x:v>
      </x:c>
      <x:c r="F11" s="566" t="n">
        <x:v>2860</x:v>
      </x:c>
      <x:c r="G11" s="567" t="n">
        <x:f>'Assumptions'!$B$12</x:f>
        <x:v>0.65</x:v>
      </x:c>
      <x:c r="H11" s="566" t="n">
        <x:f>C11*E11*(0.75+0.10*D11)</x:f>
        <x:v>2431.1003812945337</x:v>
      </x:c>
      <x:c r="I11" s="566" t="n">
        <x:f>H11*G11</x:f>
        <x:v>1580.2152478414469</x:v>
      </x:c>
      <x:c r="J11" s="566" t="n">
        <x:f>I11-F11</x:f>
        <x:v>-1279.7847521585531</x:v>
      </x:c>
      <x:c r="K11" s="568" t="n">
        <x:f>I11/F11</x:f>
        <x:v>0.5525228139305758</x:v>
      </x:c>
      <x:c r="L11" s="93" t="str">
        <x:f>IF(AND(C11&gt;=MIN('Assumptions'!$B$15*1.25,0.95),D11&gt;=4,J11&gt;0),"P1",IF(AND(C11&gt;='Assumptions'!$B$15,J11&gt;0),"P2",IF(OR(C11&gt;='Assumptions'!$B$15*0.65,K11&gt;=0.75),"P3","MONITOR")))</x:f>
        <x:v>MONITOR</x:v>
      </x:c>
    </x:row>
    <x:row r="12" ht="15" hidden="0" customHeight="1">
      <x:c r="A12" s="90" t="str">
        <x:v>MC-06</x:v>
      </x:c>
      <x:c r="B12" s="92" t="str">
        <x:v>LINE-B</x:v>
      </x:c>
      <x:c r="C12" s="565" t="n">
        <x:v>0.07679629013744088</x:v>
      </x:c>
      <x:c r="D12" s="92" t="n">
        <x:v>3</x:v>
      </x:c>
      <x:c r="E12" s="566" t="n">
        <x:v>26700</x:v>
      </x:c>
      <x:c r="F12" s="566" t="n">
        <x:v>3220</x:v>
      </x:c>
      <x:c r="G12" s="567" t="n">
        <x:f>'Assumptions'!$B$12</x:f>
        <x:v>0.65</x:v>
      </x:c>
      <x:c r="H12" s="566" t="n">
        <x:f>C12*E12*(0.75+0.10*D12)</x:f>
        <x:v>2152.983994003155</x:v>
      </x:c>
      <x:c r="I12" s="566" t="n">
        <x:f>H12*G12</x:f>
        <x:v>1399.439596102051</x:v>
      </x:c>
      <x:c r="J12" s="566" t="n">
        <x:f>I12-F12</x:f>
        <x:v>-1820.560403897949</x:v>
      </x:c>
      <x:c r="K12" s="568" t="n">
        <x:f>I12/F12</x:f>
        <x:v>0.43460857021802823</x:v>
      </x:c>
      <x:c r="L12" s="93" t="str">
        <x:f>IF(AND(C12&gt;=MIN('Assumptions'!$B$15*1.25,0.95),D12&gt;=4,J12&gt;0),"P1",IF(AND(C12&gt;='Assumptions'!$B$15,J12&gt;0),"P2",IF(OR(C12&gt;='Assumptions'!$B$15*0.65,K12&gt;=0.75),"P3","MONITOR")))</x:f>
        <x:v>MONITOR</x:v>
      </x:c>
    </x:row>
    <x:row r="13" ht="15" hidden="0" customHeight="1">
      <x:c r="A13" s="90" t="str">
        <x:v>MC-07</x:v>
      </x:c>
      <x:c r="B13" s="92" t="str">
        <x:v>LINE-C</x:v>
      </x:c>
      <x:c r="C13" s="565" t="n">
        <x:v>0.05425437206193842</x:v>
      </x:c>
      <x:c r="D13" s="92" t="n">
        <x:v>5</x:v>
      </x:c>
      <x:c r="E13" s="566" t="n">
        <x:v>38900</x:v>
      </x:c>
      <x:c r="F13" s="566" t="n">
        <x:v>3700</x:v>
      </x:c>
      <x:c r="G13" s="567" t="n">
        <x:f>'Assumptions'!$B$12</x:f>
        <x:v>0.65</x:v>
      </x:c>
      <x:c r="H13" s="566" t="n">
        <x:f>C13*E13*(0.75+0.10*D13)</x:f>
        <x:v>2638.1188415117554</x:v>
      </x:c>
      <x:c r="I13" s="566" t="n">
        <x:f>H13*G13</x:f>
        <x:v>1714.7772469826411</x:v>
      </x:c>
      <x:c r="J13" s="566" t="n">
        <x:f>I13-F13</x:f>
        <x:v>-1985.2227530173589</x:v>
      </x:c>
      <x:c r="K13" s="568" t="n">
        <x:f>I13/F13</x:f>
        <x:v>0.4634533099953084</x:v>
      </x:c>
      <x:c r="L13" s="93" t="str">
        <x:f>IF(AND(C13&gt;=MIN('Assumptions'!$B$15*1.25,0.95),D13&gt;=4,J13&gt;0),"P1",IF(AND(C13&gt;='Assumptions'!$B$15,J13&gt;0),"P2",IF(OR(C13&gt;='Assumptions'!$B$15*0.65,K13&gt;=0.75),"P3","MONITOR")))</x:f>
        <x:v>MONITOR</x:v>
      </x:c>
    </x:row>
    <x:row r="14" ht="15" hidden="0" customHeight="1">
      <x:c r="A14" s="90" t="str">
        <x:v>MC-09</x:v>
      </x:c>
      <x:c r="B14" s="92" t="str">
        <x:v>LINE-C</x:v>
      </x:c>
      <x:c r="C14" s="565" t="n">
        <x:v>0.06340204111107393</x:v>
      </x:c>
      <x:c r="D14" s="92" t="n">
        <x:v>4</x:v>
      </x:c>
      <x:c r="E14" s="566" t="n">
        <x:v>33400</x:v>
      </x:c>
      <x:c r="F14" s="566" t="n">
        <x:v>3640</x:v>
      </x:c>
      <x:c r="G14" s="567" t="n">
        <x:f>'Assumptions'!$B$12</x:f>
        <x:v>0.65</x:v>
      </x:c>
      <x:c r="H14" s="566" t="n">
        <x:f>C14*E14*(0.75+0.10*D14)</x:f>
        <x:v>2435.2723990763493</x:v>
      </x:c>
      <x:c r="I14" s="566" t="n">
        <x:f>H14*G14</x:f>
        <x:v>1582.927059399627</x:v>
      </x:c>
      <x:c r="J14" s="566" t="n">
        <x:f>I14-F14</x:f>
        <x:v>-2057.072940600373</x:v>
      </x:c>
      <x:c r="K14" s="568" t="n">
        <x:f>I14/F14</x:f>
        <x:v>0.4348700712636338</x:v>
      </x:c>
      <x:c r="L14" s="93" t="str">
        <x:f>IF(AND(C14&gt;=MIN('Assumptions'!$B$15*1.25,0.95),D14&gt;=4,J14&gt;0),"P1",IF(AND(C14&gt;='Assumptions'!$B$15,J14&gt;0),"P2",IF(OR(C14&gt;='Assumptions'!$B$15*0.65,K14&gt;=0.75),"P3","MONITOR")))</x:f>
        <x:v>MONITOR</x:v>
      </x:c>
    </x:row>
    <x:row r="15" ht="15" hidden="0" customHeight="1">
      <x:c r="A15" s="90" t="str">
        <x:v>MC-08</x:v>
      </x:c>
      <x:c r="B15" s="92" t="str">
        <x:v>LINE-C</x:v>
      </x:c>
      <x:c r="C15" s="565" t="n">
        <x:v>0.04130995061154855</x:v>
      </x:c>
      <x:c r="D15" s="92" t="n">
        <x:v>3</x:v>
      </x:c>
      <x:c r="E15" s="566" t="n">
        <x:v>27900</x:v>
      </x:c>
      <x:c r="F15" s="566" t="n">
        <x:v>3040</x:v>
      </x:c>
      <x:c r="G15" s="567" t="n">
        <x:f>'Assumptions'!$B$12</x:f>
        <x:v>0.65</x:v>
      </x:c>
      <x:c r="H15" s="566" t="n">
        <x:f>C15*E15*(0.75+0.10*D15)</x:f>
        <x:v>1210.175003165315</x:v>
      </x:c>
      <x:c r="I15" s="566" t="n">
        <x:f>H15*G15</x:f>
        <x:v>786.6137520574548</x:v>
      </x:c>
      <x:c r="J15" s="566" t="n">
        <x:f>I15-F15</x:f>
        <x:v>-2253.386247942545</x:v>
      </x:c>
      <x:c r="K15" s="568" t="n">
        <x:f>I15/F15</x:f>
        <x:v>0.25875452370311014</x:v>
      </x:c>
      <x:c r="L15" s="93" t="str">
        <x:f>IF(AND(C15&gt;=MIN('Assumptions'!$B$15*1.25,0.95),D15&gt;=4,J15&gt;0),"P1",IF(AND(C15&gt;='Assumptions'!$B$15,J15&gt;0),"P2",IF(OR(C15&gt;='Assumptions'!$B$15*0.65,K15&gt;=0.75),"P3","MONITOR")))</x:f>
        <x:v>MONITOR</x:v>
      </x:c>
    </x:row>
    <x:row r="16" ht="15" hidden="0" customHeight="1">
      <x:c r="A16" s="95" t="str">
        <x:v>MC-11</x:v>
      </x:c>
      <x:c r="B16" s="97" t="str">
        <x:v>LINE-D</x:v>
      </x:c>
      <x:c r="C16" s="569" t="n">
        <x:v>0.04162540371873109</x:v>
      </x:c>
      <x:c r="D16" s="97" t="n">
        <x:v>4</x:v>
      </x:c>
      <x:c r="E16" s="570" t="n">
        <x:v>34600</x:v>
      </x:c>
      <x:c r="F16" s="570" t="n">
        <x:v>3460</x:v>
      </x:c>
      <x:c r="G16" s="571" t="n">
        <x:f>'Assumptions'!$B$12</x:f>
        <x:v>0.65</x:v>
      </x:c>
      <x:c r="H16" s="570" t="n">
        <x:f>C16*E16*(0.75+0.10*D16)</x:f>
        <x:v>1656.27481396831</x:v>
      </x:c>
      <x:c r="I16" s="570" t="n">
        <x:f>H16*G16</x:f>
        <x:v>1076.5786290794015</x:v>
      </x:c>
      <x:c r="J16" s="570" t="n">
        <x:f>I16-F16</x:f>
        <x:v>-2383.4213709205987</x:v>
      </x:c>
      <x:c r="K16" s="572" t="n">
        <x:f>I16/F16</x:f>
        <x:v>0.31114989279751487</x:v>
      </x:c>
      <x:c r="L16" s="98" t="str">
        <x:f>IF(AND(C16&gt;=MIN('Assumptions'!$B$15*1.25,0.95),D16&gt;=4,J16&gt;0),"P1",IF(AND(C16&gt;='Assumptions'!$B$15,J16&gt;0),"P2",IF(OR(C16&gt;='Assumptions'!$B$15*0.65,K16&gt;=0.75),"P3","MONITOR")))</x:f>
        <x:v>MONITOR</x:v>
      </x:c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573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19" s="574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19" s="574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19" s="575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0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0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0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1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1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1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2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2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2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3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3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3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4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4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4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5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5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5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6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6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6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7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7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7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8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8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8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29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29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29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30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30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30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31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31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31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32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32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32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33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33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33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576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34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34" s="577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34" s="578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579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J35" s="580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K35" s="580" t="str">
        <x:v>POLICY BOUNDARY
Risk and synthetic economics support prioritization only.
Every recommendation requires maintenance-planner review, current safety context and explicit approval.
No CMMS, PLC or SCADA write action is implemented.</x:v>
      </x:c>
      <x:c r="L35" s="581" t="str">
        <x:v>POLICY BOUNDARY
Risk and synthetic economics support prioritization only.
Every recommendation requires maintenance-planner review, current safety context and explicit approval.
No CMMS, PLC or SCADA write action is implemented.</x:v>
      </x:c>
    </x:row>
  </x:sheetData>
  <x:mergeCells>
    <x:mergeCell ref="A1:L2"/>
    <x:mergeCell ref="I19:L35"/>
  </x:mergeCells>
  <x:conditionalFormatting sqref="C5:C16">
    <x:cfRule type="colorScale" priority="1">
      <x:colorScale>
        <x:cfvo type="min"/>
        <x:cfvo type="percentile" val="50"/>
        <x:cfvo type="max"/>
        <x:color rgb="FF2DBE8C"/>
        <x:color rgb="FFFFCC66"/>
        <x:color rgb="FFE63946"/>
      </x:colorScale>
    </x:cfRule>
  </x:conditionalFormatting>
  <x:conditionalFormatting sqref="J5:J16">
    <x:cfRule type="cellIs" dxfId="0" priority="2" operator="lessThan">
      <x:formula>0</x:formula>
    </x:cfRule>
  </x:conditionalFormatting>
  <x:conditionalFormatting sqref="L5:L16">
    <x:cfRule type="containsText" dxfId="1" priority="3" operator="containsText" text="P1"/>
  </x:conditionalFormatting>
  <x:pageMargins left="0.7" right="0.7" top="0.75" bottom="0.75" header="0.3" footer="0.3"/>
  <x:drawing xmlns:r="http://schemas.openxmlformats.org/officeDocument/2006/relationships" r:id="Rc25cfad33a0e47e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32" customHeight="1">
      <x:c r="A1" s="80" t="str">
        <x:v>CHART SOURCE
Maintenance net benefit</x:v>
      </x:c>
      <x:c r="B1" s="82" t="str">
        <x:v>CHART SOURCE
Maintenance net benefit</x:v>
      </x:c>
    </x:row>
    <x:row r="2" ht="32" customHeight="1">
      <x:c r="A2" s="83" t="str">
        <x:v>CHART SOURCE
Maintenance net benefit</x:v>
      </x:c>
      <x:c r="B2" s="85" t="str">
        <x:v>CHART SOURCE
Maintenance net benefit</x:v>
      </x:c>
    </x:row>
    <x:row r="3">
      <x:c r="A3" s="86"/>
      <x:c r="B3" s="86"/>
    </x:row>
    <x:row r="4">
      <x:c r="A4" s="595" t="str">
        <x:v>Machine</x:v>
      </x:c>
      <x:c r="B4" s="596" t="str">
        <x:v>Net Benefit</x:v>
      </x:c>
    </x:row>
    <x:row r="5">
      <x:c r="A5" s="90" t="str">
        <x:f>'Maintenance Planner'!A5</x:f>
        <x:v>MC-12</x:v>
      </x:c>
      <x:c r="B5" s="597" t="n">
        <x:f>'Maintenance Planner'!J5</x:f>
        <x:v>7059.925090280905</x:v>
      </x:c>
    </x:row>
    <x:row r="6">
      <x:c r="A6" s="90" t="str">
        <x:f>'Maintenance Planner'!A6</x:f>
        <x:v>MC-05</x:v>
      </x:c>
      <x:c r="B6" s="597" t="n">
        <x:f>'Maintenance Planner'!J6</x:f>
        <x:v>4665.151092531514</x:v>
      </x:c>
    </x:row>
    <x:row r="7">
      <x:c r="A7" s="90" t="str">
        <x:f>'Maintenance Planner'!A7</x:f>
        <x:v>MC-02</x:v>
      </x:c>
      <x:c r="B7" s="597" t="n">
        <x:f>'Maintenance Planner'!J7</x:f>
        <x:v>4335.990707478369</x:v>
      </x:c>
    </x:row>
    <x:row r="8">
      <x:c r="A8" s="90" t="str">
        <x:f>'Maintenance Planner'!A8</x:f>
        <x:v>MC-04</x:v>
      </x:c>
      <x:c r="B8" s="597" t="n">
        <x:f>'Maintenance Planner'!J8</x:f>
        <x:v>1913.7795040964038</x:v>
      </x:c>
    </x:row>
    <x:row r="9">
      <x:c r="A9" s="90" t="str">
        <x:f>'Maintenance Planner'!A9</x:f>
        <x:v>MC-03</x:v>
      </x:c>
      <x:c r="B9" s="597" t="n">
        <x:f>'Maintenance Planner'!J9</x:f>
        <x:v>1546.3640994029429</x:v>
      </x:c>
    </x:row>
    <x:row r="10">
      <x:c r="A10" s="90" t="str">
        <x:f>'Maintenance Planner'!A10</x:f>
        <x:v>MC-10</x:v>
      </x:c>
      <x:c r="B10" s="597" t="n">
        <x:f>'Maintenance Planner'!J10</x:f>
        <x:v>-1213.4536780248347</x:v>
      </x:c>
    </x:row>
    <x:row r="11">
      <x:c r="A11" s="90" t="str">
        <x:f>'Maintenance Planner'!A11</x:f>
        <x:v>MC-01</x:v>
      </x:c>
      <x:c r="B11" s="597" t="n">
        <x:f>'Maintenance Planner'!J11</x:f>
        <x:v>-1279.7847521585531</x:v>
      </x:c>
    </x:row>
    <x:row r="12">
      <x:c r="A12" s="90" t="str">
        <x:f>'Maintenance Planner'!A12</x:f>
        <x:v>MC-06</x:v>
      </x:c>
      <x:c r="B12" s="597" t="n">
        <x:f>'Maintenance Planner'!J12</x:f>
        <x:v>-1820.560403897949</x:v>
      </x:c>
    </x:row>
    <x:row r="13">
      <x:c r="A13" s="90" t="str">
        <x:f>'Maintenance Planner'!A13</x:f>
        <x:v>MC-07</x:v>
      </x:c>
      <x:c r="B13" s="597" t="n">
        <x:f>'Maintenance Planner'!J13</x:f>
        <x:v>-1985.2227530173589</x:v>
      </x:c>
    </x:row>
    <x:row r="14">
      <x:c r="A14" s="90" t="str">
        <x:f>'Maintenance Planner'!A14</x:f>
        <x:v>MC-09</x:v>
      </x:c>
      <x:c r="B14" s="597" t="n">
        <x:f>'Maintenance Planner'!J14</x:f>
        <x:v>-2057.072940600373</x:v>
      </x:c>
    </x:row>
    <x:row r="15">
      <x:c r="A15" s="90" t="str">
        <x:f>'Maintenance Planner'!A15</x:f>
        <x:v>MC-08</x:v>
      </x:c>
      <x:c r="B15" s="597" t="n">
        <x:f>'Maintenance Planner'!J15</x:f>
        <x:v>-2253.386247942545</x:v>
      </x:c>
    </x:row>
    <x:row r="16">
      <x:c r="A16" s="95" t="str">
        <x:f>'Maintenance Planner'!A16</x:f>
        <x:v>MC-11</x:v>
      </x:c>
      <x:c r="B16" s="598" t="n">
        <x:f>'Maintenance Planner'!J16</x:f>
        <x:v>-2383.4213709205987</x:v>
      </x:c>
    </x:row>
  </x:sheetData>
  <x:mergeCells>
    <x:mergeCell ref="A1:B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80" t="str">
        <x:v>MODEL &amp; ALARM MONITORING
Validation decisions and untouched out-of-time results</x:v>
      </x:c>
      <x:c r="B1" s="81" t="str">
        <x:v>MODEL &amp; ALARM MONITORING
Validation decisions and untouched out-of-time results</x:v>
      </x:c>
      <x:c r="C1" s="81" t="str">
        <x:v>MODEL &amp; ALARM MONITORING
Validation decisions and untouched out-of-time results</x:v>
      </x:c>
      <x:c r="D1" s="81" t="str">
        <x:v>MODEL &amp; ALARM MONITORING
Validation decisions and untouched out-of-time results</x:v>
      </x:c>
      <x:c r="E1" s="81" t="str">
        <x:v>MODEL &amp; ALARM MONITORING
Validation decisions and untouched out-of-time results</x:v>
      </x:c>
      <x:c r="F1" s="81" t="str">
        <x:v>MODEL &amp; ALARM MONITORING
Validation decisions and untouched out-of-time results</x:v>
      </x:c>
      <x:c r="G1" s="81" t="str">
        <x:v>MODEL &amp; ALARM MONITORING
Validation decisions and untouched out-of-time results</x:v>
      </x:c>
      <x:c r="H1" s="82" t="str">
        <x:v>MODEL &amp; ALARM MONITORING
Validation decisions and untouched out-of-time results</x:v>
      </x:c>
    </x:row>
    <x:row r="2" ht="32" customHeight="1">
      <x:c r="A2" s="83" t="str">
        <x:v>MODEL &amp; ALARM MONITORING
Validation decisions and untouched out-of-time results</x:v>
      </x:c>
      <x:c r="B2" s="84" t="str">
        <x:v>MODEL &amp; ALARM MONITORING
Validation decisions and untouched out-of-time results</x:v>
      </x:c>
      <x:c r="C2" s="84" t="str">
        <x:v>MODEL &amp; ALARM MONITORING
Validation decisions and untouched out-of-time results</x:v>
      </x:c>
      <x:c r="D2" s="84" t="str">
        <x:v>MODEL &amp; ALARM MONITORING
Validation decisions and untouched out-of-time results</x:v>
      </x:c>
      <x:c r="E2" s="84" t="str">
        <x:v>MODEL &amp; ALARM MONITORING
Validation decisions and untouched out-of-time results</x:v>
      </x:c>
      <x:c r="F2" s="84" t="str">
        <x:v>MODEL &amp; ALARM MONITORING
Validation decisions and untouched out-of-time results</x:v>
      </x:c>
      <x:c r="G2" s="84" t="str">
        <x:v>MODEL &amp; ALARM MONITORING
Validation decisions and untouched out-of-time results</x:v>
      </x:c>
      <x:c r="H2" s="85" t="str">
        <x:v>MODEL &amp; ALARM MONITORING
Validation decisions and untouched out-of-time results</x:v>
      </x:c>
    </x:row>
    <x:row r="3">
      <x:c r="A3" s="86"/>
      <x:c r="B3" s="86"/>
      <x:c r="C3" s="86"/>
      <x:c r="D3" s="86"/>
      <x:c r="E3" s="86"/>
      <x:c r="F3" s="86"/>
      <x:c r="G3" s="86"/>
      <x:c r="H3" s="86"/>
    </x:row>
    <x:row r="4">
      <x:c r="A4" s="582" t="str">
        <x:v>Metric</x:v>
      </x:c>
      <x:c r="B4" s="583" t="str">
        <x:v>Validation</x:v>
      </x:c>
      <x:c r="C4" s="583" t="str">
        <x:v>OOT</x:v>
      </x:c>
      <x:c r="D4" s="583" t="str">
        <x:v>Interpretation</x:v>
      </x:c>
      <x:c r="E4" s="584"/>
      <x:c r="F4" s="107" t="str">
        <x:v>Control</x:v>
      </x:c>
      <x:c r="G4" s="107" t="str">
        <x:v>Result</x:v>
      </x:c>
      <x:c r="H4" s="108" t="str">
        <x:v>Status</x:v>
      </x:c>
    </x:row>
    <x:row r="5">
      <x:c r="A5" s="109" t="str">
        <x:v>PR-AUC</x:v>
      </x:c>
      <x:c r="B5" s="585" t="n">
        <x:v>0.3767613880770419</x:v>
      </x:c>
      <x:c r="C5" s="585" t="n">
        <x:v>0.38865446252537994</x:v>
      </x:c>
      <x:c r="D5" s="111" t="str">
        <x:v>Higher; compare with positive rate</x:v>
      </x:c>
      <x:c r="E5" s="111"/>
      <x:c r="F5" s="111" t="str">
        <x:v>Champion</x:v>
      </x:c>
      <x:c r="G5" s="111" t="str">
        <x:v>random_forest</x:v>
      </x:c>
      <x:c r="H5" s="112" t="str">
        <x:v>selected on validation</x:v>
      </x:c>
    </x:row>
    <x:row r="6">
      <x:c r="A6" s="109" t="str">
        <x:v>ROC-AUC</x:v>
      </x:c>
      <x:c r="B6" s="585" t="n">
        <x:v>0.7645691520943861</x:v>
      </x:c>
      <x:c r="C6" s="585" t="n">
        <x:v>0.7489429030298329</x:v>
      </x:c>
      <x:c r="D6" s="111" t="str">
        <x:v>Discrimination</x:v>
      </x:c>
      <x:c r="E6" s="111"/>
      <x:c r="F6" s="111" t="str">
        <x:v>Challenger</x:v>
      </x:c>
      <x:c r="G6" s="111" t="str">
        <x:v>logistic_regression</x:v>
      </x:c>
      <x:c r="H6" s="112" t="str">
        <x:v>retained</x:v>
      </x:c>
    </x:row>
    <x:row r="7">
      <x:c r="A7" s="109" t="str">
        <x:v>Brier score</x:v>
      </x:c>
      <x:c r="B7" s="586" t="n">
        <x:v>0.10993689164565518</x:v>
      </x:c>
      <x:c r="C7" s="586" t="n">
        <x:v>0.11374825814485791</x:v>
      </x:c>
      <x:c r="D7" s="111" t="str">
        <x:v>Lower is better</x:v>
      </x:c>
      <x:c r="E7" s="111"/>
      <x:c r="F7" s="111" t="str">
        <x:v>Threshold</x:v>
      </x:c>
      <x:c r="G7" s="585" t="n">
        <x:v>0.1477606755877041</x:v>
      </x:c>
      <x:c r="H7" s="112" t="str">
        <x:v>validation only</x:v>
      </x:c>
    </x:row>
    <x:row r="8">
      <x:c r="A8" s="109" t="str">
        <x:v>ECE (10 bins)</x:v>
      </x:c>
      <x:c r="B8" s="586" t="n">
        <x:v>0.02526271625333785</x:v>
      </x:c>
      <x:c r="C8" s="586" t="n">
        <x:v>0.016351462974802753</x:v>
      </x:c>
      <x:c r="D8" s="111" t="str">
        <x:v>Calibration gap</x:v>
      </x:c>
      <x:c r="E8" s="111"/>
      <x:c r="F8" s="111" t="str">
        <x:v>Review-capacity cap</x:v>
      </x:c>
      <x:c r="G8" s="585" t="n">
        <x:v>0.4</x:v>
      </x:c>
      <x:c r="H8" s="112" t="str">
        <x:v>validation constraint</x:v>
      </x:c>
    </x:row>
    <x:row r="9">
      <x:c r="A9" s="109" t="str">
        <x:v>Precision</x:v>
      </x:c>
      <x:c r="B9" s="585" t="n">
        <x:v>0.28672985781990523</x:v>
      </x:c>
      <x:c r="C9" s="585" t="n">
        <x:v>0.2630457933972311</x:v>
      </x:c>
      <x:c r="D9" s="111" t="str">
        <x:v>True failures among alerts</x:v>
      </x:c>
      <x:c r="E9" s="111"/>
      <x:c r="F9" s="111" t="str">
        <x:v>OOT alarm rate</x:v>
      </x:c>
      <x:c r="G9" s="585" t="n">
        <x:v>0.43112947658402206</x:v>
      </x:c>
      <x:c r="H9" s="112" t="str">
        <x:v>watch</x:v>
      </x:c>
    </x:row>
    <x:row r="10">
      <x:c r="A10" s="109" t="str">
        <x:v>Recall</x:v>
      </x:c>
      <x:c r="B10" s="585" t="n">
        <x:v>0.7578288100208769</x:v>
      </x:c>
      <x:c r="C10" s="585" t="n">
        <x:v>0.7351190476190477</x:v>
      </x:c>
      <x:c r="D10" s="111" t="str">
        <x:v>Captured future failures</x:v>
      </x:c>
      <x:c r="E10" s="111"/>
      <x:c r="F10" s="111" t="str">
        <x:v>Maximum PSI</x:v>
      </x:c>
      <x:c r="G10" s="111" t="n">
        <x:v>8.899345677701184</x:v>
      </x:c>
      <x:c r="H10" s="112" t="str">
        <x:v>action</x:v>
      </x:c>
    </x:row>
    <x:row r="11">
      <x:c r="A11" s="109" t="str">
        <x:v>F1</x:v>
      </x:c>
      <x:c r="B11" s="585" t="n">
        <x:v>0.4160458452722063</x:v>
      </x:c>
      <x:c r="C11" s="585" t="n">
        <x:v>0.38745098039215686</x:v>
      </x:c>
      <x:c r="D11" s="111" t="str">
        <x:v>Precision/recall balance</x:v>
      </x:c>
      <x:c r="E11" s="111"/>
      <x:c r="F11" s="111" t="str">
        <x:v>Data-quality checks</x:v>
      </x:c>
      <x:c r="G11" s="111" t="str">
        <x:v>5/5</x:v>
      </x:c>
      <x:c r="H11" s="112" t="str">
        <x:v>passed</x:v>
      </x:c>
    </x:row>
    <x:row r="12">
      <x:c r="A12" s="109" t="str">
        <x:v>Alert rate</x:v>
      </x:c>
      <x:c r="B12" s="585" t="n">
        <x:v>0.3951310861423221</x:v>
      </x:c>
      <x:c r="C12" s="585" t="n">
        <x:v>0.43112947658402206</x:v>
      </x:c>
      <x:c r="D12" s="111" t="str">
        <x:v>Planner burden</x:v>
      </x:c>
      <x:c r="E12" s="111"/>
      <x:c r="F12" s="111"/>
      <x:c r="G12" s="111"/>
      <x:c r="H12" s="112"/>
    </x:row>
    <x:row r="13">
      <x:c r="A13" s="109" t="str">
        <x:v>Positive rate</x:v>
      </x:c>
      <x:c r="B13" s="585" t="n">
        <x:v>0.14950062421972535</x:v>
      </x:c>
      <x:c r="C13" s="585" t="n">
        <x:v>0.15426997245179064</x:v>
      </x:c>
      <x:c r="D13" s="111" t="str">
        <x:v>No-skill PR baseline</x:v>
      </x:c>
      <x:c r="E13" s="111"/>
      <x:c r="F13" s="111"/>
      <x:c r="G13" s="111"/>
      <x:c r="H13" s="112"/>
    </x:row>
    <x:row r="14">
      <x:c r="A14" s="114" t="str">
        <x:v>Expected cost / observation</x:v>
      </x:c>
      <x:c r="B14" s="587" t="n">
        <x:v>416.4637952559301</x:v>
      </x:c>
      <x:c r="C14" s="587" t="n">
        <x:v>469.88062442607895</x:v>
      </x:c>
      <x:c r="D14" s="116" t="str">
        <x:v>Synthetic cost units</x:v>
      </x:c>
      <x:c r="E14" s="116"/>
      <x:c r="F14" s="116"/>
      <x:c r="G14" s="116"/>
      <x:c r="H14" s="117"/>
    </x:row>
  </x:sheetData>
  <x:mergeCells>
    <x:mergeCell ref="A1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5" hidden="0" customWidth="1"/>
    <x:col min="4" max="4" width="20" hidden="0" customWidth="1"/>
    <x:col min="5" max="5" width="40" hidden="0" customWidth="1"/>
    <x:col min="6" max="6" width="16" hidden="0" customWidth="1"/>
  </x:cols>
  <x:sheetData>
    <x:row r="1" ht="32" customHeight="1">
      <x:c r="A1" s="80" t="str">
        <x:v>DATA DICTIONARY &amp; FORMULA CONTROL
Primary analytical fields, grain and operating constraints</x:v>
      </x:c>
      <x:c r="B1" s="81" t="str">
        <x:v>DATA DICTIONARY &amp; FORMULA CONTROL
Primary analytical fields, grain and operating constraints</x:v>
      </x:c>
      <x:c r="C1" s="81" t="str">
        <x:v>DATA DICTIONARY &amp; FORMULA CONTROL
Primary analytical fields, grain and operating constraints</x:v>
      </x:c>
      <x:c r="D1" s="81" t="str">
        <x:v>DATA DICTIONARY &amp; FORMULA CONTROL
Primary analytical fields, grain and operating constraints</x:v>
      </x:c>
      <x:c r="E1" s="81" t="str">
        <x:v>DATA DICTIONARY &amp; FORMULA CONTROL
Primary analytical fields, grain and operating constraints</x:v>
      </x:c>
      <x:c r="F1" s="82" t="str">
        <x:v>DATA DICTIONARY &amp; FORMULA CONTROL
Primary analytical fields, grain and operating constraints</x:v>
      </x:c>
    </x:row>
    <x:row r="2" ht="32" customHeight="1">
      <x:c r="A2" s="83" t="str">
        <x:v>DATA DICTIONARY &amp; FORMULA CONTROL
Primary analytical fields, grain and operating constraints</x:v>
      </x:c>
      <x:c r="B2" s="84" t="str">
        <x:v>DATA DICTIONARY &amp; FORMULA CONTROL
Primary analytical fields, grain and operating constraints</x:v>
      </x:c>
      <x:c r="C2" s="84" t="str">
        <x:v>DATA DICTIONARY &amp; FORMULA CONTROL
Primary analytical fields, grain and operating constraints</x:v>
      </x:c>
      <x:c r="D2" s="84" t="str">
        <x:v>DATA DICTIONARY &amp; FORMULA CONTROL
Primary analytical fields, grain and operating constraints</x:v>
      </x:c>
      <x:c r="E2" s="84" t="str">
        <x:v>DATA DICTIONARY &amp; FORMULA CONTROL
Primary analytical fields, grain and operating constraints</x:v>
      </x:c>
      <x:c r="F2" s="85" t="str">
        <x:v>DATA DICTIONARY &amp; FORMULA CONTROL
Primary analytical fields, grain and operating constraints</x:v>
      </x:c>
    </x:row>
    <x:row r="3">
      <x:c r="A3" s="86"/>
      <x:c r="B3" s="86"/>
      <x:c r="C3" s="86"/>
      <x:c r="D3" s="86"/>
      <x:c r="E3" s="86"/>
      <x:c r="F3" s="86"/>
    </x:row>
    <x:row r="4">
      <x:c r="A4" s="582" t="str">
        <x:v>Table</x:v>
      </x:c>
      <x:c r="B4" s="583" t="str">
        <x:v>Field</x:v>
      </x:c>
      <x:c r="C4" s="583" t="str">
        <x:v>Type</x:v>
      </x:c>
      <x:c r="D4" s="583" t="str">
        <x:v>Unit / Domain</x:v>
      </x:c>
      <x:c r="E4" s="583" t="str">
        <x:v>Definition</x:v>
      </x:c>
      <x:c r="F4" s="599" t="str">
        <x:v>Model use</x:v>
      </x:c>
    </x:row>
    <x:row r="5">
      <x:c r="A5" s="109" t="str">
        <x:v>production_shifts</x:v>
      </x:c>
      <x:c r="B5" s="111" t="str">
        <x:v>shift_id</x:v>
      </x:c>
      <x:c r="C5" s="111" t="str">
        <x:v>text</x:v>
      </x:c>
      <x:c r="D5" s="111" t="str">
        <x:v>unique</x:v>
      </x:c>
      <x:c r="E5" s="111" t="str">
        <x:v>Machine-shift primary key</x:v>
      </x:c>
      <x:c r="F5" s="112" t="str">
        <x:v>audit</x:v>
      </x:c>
    </x:row>
    <x:row r="6">
      <x:c r="A6" s="109" t="str">
        <x:v>production_shifts</x:v>
      </x:c>
      <x:c r="B6" s="111" t="str">
        <x:v>timestamp</x:v>
      </x:c>
      <x:c r="C6" s="111" t="str">
        <x:v>datetime</x:v>
      </x:c>
      <x:c r="D6" s="111" t="str">
        <x:v>8-hour cadence</x:v>
      </x:c>
      <x:c r="E6" s="111" t="str">
        <x:v>Pre-shift decision timestamp</x:v>
      </x:c>
      <x:c r="F6" s="112" t="str">
        <x:v>split</x:v>
      </x:c>
    </x:row>
    <x:row r="7">
      <x:c r="A7" s="109" t="str">
        <x:v>production_shifts</x:v>
      </x:c>
      <x:c r="B7" s="111" t="str">
        <x:v>planned_production_min</x:v>
      </x:c>
      <x:c r="C7" s="111" t="str">
        <x:v>number</x:v>
      </x:c>
      <x:c r="D7" s="111" t="str">
        <x:v>minutes</x:v>
      </x:c>
      <x:c r="E7" s="111" t="str">
        <x:v>Planned time less planned stops</x:v>
      </x:c>
      <x:c r="F7" s="112" t="str">
        <x:v>no</x:v>
      </x:c>
    </x:row>
    <x:row r="8">
      <x:c r="A8" s="109" t="str">
        <x:v>production_shifts</x:v>
      </x:c>
      <x:c r="B8" s="111" t="str">
        <x:v>run_time_min</x:v>
      </x:c>
      <x:c r="C8" s="111" t="str">
        <x:v>number</x:v>
      </x:c>
      <x:c r="D8" s="111" t="str">
        <x:v>minutes</x:v>
      </x:c>
      <x:c r="E8" s="111" t="str">
        <x:v>Operating time after unplanned stops</x:v>
      </x:c>
      <x:c r="F8" s="112" t="str">
        <x:v>no</x:v>
      </x:c>
    </x:row>
    <x:row r="9">
      <x:c r="A9" s="109" t="str">
        <x:v>production_shifts</x:v>
      </x:c>
      <x:c r="B9" s="111" t="str">
        <x:v>total_units</x:v>
      </x:c>
      <x:c r="C9" s="111" t="str">
        <x:v>integer</x:v>
      </x:c>
      <x:c r="D9" s="111" t="str">
        <x:v>count</x:v>
      </x:c>
      <x:c r="E9" s="111" t="str">
        <x:v>Gross shift output</x:v>
      </x:c>
      <x:c r="F9" s="112" t="str">
        <x:v>no</x:v>
      </x:c>
    </x:row>
    <x:row r="10">
      <x:c r="A10" s="109" t="str">
        <x:v>production_shifts</x:v>
      </x:c>
      <x:c r="B10" s="111" t="str">
        <x:v>first_pass_good_units</x:v>
      </x:c>
      <x:c r="C10" s="111" t="str">
        <x:v>integer</x:v>
      </x:c>
      <x:c r="D10" s="111" t="str">
        <x:v>count</x:v>
      </x:c>
      <x:c r="E10" s="111" t="str">
        <x:v>Conforming before rework</x:v>
      </x:c>
      <x:c r="F10" s="112" t="str">
        <x:v>no</x:v>
      </x:c>
    </x:row>
    <x:row r="11">
      <x:c r="A11" s="109" t="str">
        <x:v>production_shifts</x:v>
      </x:c>
      <x:c r="B11" s="111" t="str">
        <x:v>scrap_units</x:v>
      </x:c>
      <x:c r="C11" s="111" t="str">
        <x:v>integer</x:v>
      </x:c>
      <x:c r="D11" s="111" t="str">
        <x:v>count</x:v>
      </x:c>
      <x:c r="E11" s="111" t="str">
        <x:v>Discarded units</x:v>
      </x:c>
      <x:c r="F11" s="112" t="str">
        <x:v>no</x:v>
      </x:c>
    </x:row>
    <x:row r="12">
      <x:c r="A12" s="109" t="str">
        <x:v>production_shifts</x:v>
      </x:c>
      <x:c r="B12" s="111" t="str">
        <x:v>rework_units</x:v>
      </x:c>
      <x:c r="C12" s="111" t="str">
        <x:v>integer</x:v>
      </x:c>
      <x:c r="D12" s="111" t="str">
        <x:v>count</x:v>
      </x:c>
      <x:c r="E12" s="111" t="str">
        <x:v>Units requiring rework</x:v>
      </x:c>
      <x:c r="F12" s="112" t="str">
        <x:v>no</x:v>
      </x:c>
    </x:row>
    <x:row r="13">
      <x:c r="A13" s="109" t="str">
        <x:v>production_shifts</x:v>
      </x:c>
      <x:c r="B13" s="111" t="str">
        <x:v>vibration_rms</x:v>
      </x:c>
      <x:c r="C13" s="111" t="str">
        <x:v>number</x:v>
      </x:c>
      <x:c r="D13" s="111" t="str">
        <x:v>synthetic RMS</x:v>
      </x:c>
      <x:c r="E13" s="111" t="str">
        <x:v>Pre-shift vibration feature</x:v>
      </x:c>
      <x:c r="F13" s="112" t="str">
        <x:v>yes</x:v>
      </x:c>
    </x:row>
    <x:row r="14">
      <x:c r="A14" s="109" t="str">
        <x:v>production_shifts</x:v>
      </x:c>
      <x:c r="B14" s="111" t="str">
        <x:v>temperature_c</x:v>
      </x:c>
      <x:c r="C14" s="111" t="str">
        <x:v>number</x:v>
      </x:c>
      <x:c r="D14" s="111" t="str">
        <x:v>Celsius</x:v>
      </x:c>
      <x:c r="E14" s="111" t="str">
        <x:v>Pre-shift thermal feature</x:v>
      </x:c>
      <x:c r="F14" s="112" t="str">
        <x:v>yes</x:v>
      </x:c>
    </x:row>
    <x:row r="15">
      <x:c r="A15" s="109" t="str">
        <x:v>production_shifts</x:v>
      </x:c>
      <x:c r="B15" s="111" t="str">
        <x:v>lubrication_index</x:v>
      </x:c>
      <x:c r="C15" s="111" t="str">
        <x:v>number</x:v>
      </x:c>
      <x:c r="D15" s="111" t="str">
        <x:v>0-100</x:v>
      </x:c>
      <x:c r="E15" s="111" t="str">
        <x:v>Synthetic lubricant condition</x:v>
      </x:c>
      <x:c r="F15" s="112" t="str">
        <x:v>yes</x:v>
      </x:c>
    </x:row>
    <x:row r="16">
      <x:c r="A16" s="109" t="str">
        <x:v>production_shifts</x:v>
      </x:c>
      <x:c r="B16" s="111" t="str">
        <x:v>failure_event</x:v>
      </x:c>
      <x:c r="C16" s="111" t="str">
        <x:v>0/1</x:v>
      </x:c>
      <x:c r="D16" s="111" t="str">
        <x:v>current shift</x:v>
      </x:c>
      <x:c r="E16" s="111" t="str">
        <x:v>Observed failure outcome</x:v>
      </x:c>
      <x:c r="F16" s="112" t="str">
        <x:v>no</x:v>
      </x:c>
    </x:row>
    <x:row r="17">
      <x:c r="A17" s="109" t="str">
        <x:v>production_shifts</x:v>
      </x:c>
      <x:c r="B17" s="111" t="str">
        <x:v>failure_within_24h</x:v>
      </x:c>
      <x:c r="C17" s="111" t="str">
        <x:v>0/1</x:v>
      </x:c>
      <x:c r="D17" s="111" t="str">
        <x:v>next 3 shifts</x:v>
      </x:c>
      <x:c r="E17" s="111" t="str">
        <x:v>Future prediction target</x:v>
      </x:c>
      <x:c r="F17" s="112" t="str">
        <x:v>target</x:v>
      </x:c>
    </x:row>
    <x:row r="18">
      <x:c r="A18" s="109" t="str">
        <x:v>quality_measurements</x:v>
      </x:c>
      <x:c r="B18" s="111" t="str">
        <x:v>ctq_dimension_mm</x:v>
      </x:c>
      <x:c r="C18" s="111" t="str">
        <x:v>number</x:v>
      </x:c>
      <x:c r="D18" s="111" t="str">
        <x:v>millimeters</x:v>
      </x:c>
      <x:c r="E18" s="111" t="str">
        <x:v>CTQ subgroup observation</x:v>
      </x:c>
      <x:c r="F18" s="112" t="str">
        <x:v>no</x:v>
      </x:c>
    </x:row>
    <x:row r="19">
      <x:c r="A19" s="109" t="str">
        <x:v>quality_measurements</x:v>
      </x:c>
      <x:c r="B19" s="111" t="str">
        <x:v>lsl_mm</x:v>
      </x:c>
      <x:c r="C19" s="111" t="str">
        <x:v>number</x:v>
      </x:c>
      <x:c r="D19" s="111" t="str">
        <x:v>millimeters</x:v>
      </x:c>
      <x:c r="E19" s="111" t="str">
        <x:v>Engineering lower specification</x:v>
      </x:c>
      <x:c r="F19" s="112" t="str">
        <x:v>no</x:v>
      </x:c>
    </x:row>
    <x:row r="20">
      <x:c r="A20" s="109" t="str">
        <x:v>quality_measurements</x:v>
      </x:c>
      <x:c r="B20" s="111" t="str">
        <x:v>usl_mm</x:v>
      </x:c>
      <x:c r="C20" s="111" t="str">
        <x:v>number</x:v>
      </x:c>
      <x:c r="D20" s="111" t="str">
        <x:v>millimeters</x:v>
      </x:c>
      <x:c r="E20" s="111" t="str">
        <x:v>Engineering upper specification</x:v>
      </x:c>
      <x:c r="F20" s="112" t="str">
        <x:v>no</x:v>
      </x:c>
    </x:row>
    <x:row r="21">
      <x:c r="A21" s="109" t="str">
        <x:v>model_prediction</x:v>
      </x:c>
      <x:c r="B21" s="111" t="str">
        <x:v>failure_probability</x:v>
      </x:c>
      <x:c r="C21" s="111" t="str">
        <x:v>number</x:v>
      </x:c>
      <x:c r="D21" s="111" t="str">
        <x:v>0-1</x:v>
      </x:c>
      <x:c r="E21" s="111" t="str">
        <x:v>Calibrated 24-hour risk</x:v>
      </x:c>
      <x:c r="F21" s="112" t="str">
        <x:v>output</x:v>
      </x:c>
    </x:row>
    <x:row r="22">
      <x:c r="A22" s="109" t="str">
        <x:v>maintenance</x:v>
      </x:c>
      <x:c r="B22" s="111" t="str">
        <x:v>criticality</x:v>
      </x:c>
      <x:c r="C22" s="111" t="str">
        <x:v>integer</x:v>
      </x:c>
      <x:c r="D22" s="111" t="str">
        <x:v>1-5</x:v>
      </x:c>
      <x:c r="E22" s="111" t="str">
        <x:v>Asset consequence tier</x:v>
      </x:c>
      <x:c r="F22" s="112" t="str">
        <x:v>policy</x:v>
      </x:c>
    </x:row>
    <x:row r="23">
      <x:c r="A23" s="109" t="str">
        <x:v>maintenance</x:v>
      </x:c>
      <x:c r="B23" s="111" t="str">
        <x:v>expected_net_benefit</x:v>
      </x:c>
      <x:c r="C23" s="111" t="str">
        <x:v>number</x:v>
      </x:c>
      <x:c r="D23" s="111" t="str">
        <x:v>cost units</x:v>
      </x:c>
      <x:c r="E23" s="111" t="str">
        <x:v>Avoided loss less maintenance cost</x:v>
      </x:c>
      <x:c r="F23" s="112" t="str">
        <x:v>policy</x:v>
      </x:c>
    </x:row>
    <x:row r="24">
      <x:c r="A24" s="114" t="str">
        <x:v>maintenance</x:v>
      </x:c>
      <x:c r="B24" s="116" t="str">
        <x:v>human_approval_required</x:v>
      </x:c>
      <x:c r="C24" s="116" t="str">
        <x:v>boolean</x:v>
      </x:c>
      <x:c r="D24" s="116" t="str">
        <x:v>always true</x:v>
      </x:c>
      <x:c r="E24" s="116" t="str">
        <x:v>Human decision gate</x:v>
      </x:c>
      <x:c r="F24" s="117" t="str">
        <x:v>contract</x:v>
      </x:c>
    </x:row>
  </x:sheetData>
  <x:mergeCells>
    <x:mergeCell ref="A1:F2"/>
  </x:mergeCells>
  <x:pageMargins left="0.7" right="0.7" top="0.75" bottom="0.75" header="0.3" footer="0.3"/>
</x:worksheet>
</file>